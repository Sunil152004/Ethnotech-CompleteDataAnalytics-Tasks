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736EA285-4593-42CF-B24A-CB6416B3C77A}" xr6:coauthVersionLast="47" xr6:coauthVersionMax="47" xr10:uidLastSave="{00000000-0000-0000-0000-000000000000}"/>
  <bookViews>
    <workbookView xWindow="-120" yWindow="-120" windowWidth="29040" windowHeight="15720" xr2:uid="{3A192000-F92E-4BBC-8739-32AB7038A5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3" i="1"/>
  <c r="Q28" i="1"/>
  <c r="Q27" i="1"/>
  <c r="Q26" i="1"/>
  <c r="O25" i="1"/>
  <c r="P21" i="1"/>
  <c r="P20" i="1"/>
  <c r="P19" i="1"/>
  <c r="P18" i="1"/>
  <c r="P17" i="1"/>
  <c r="P15" i="1"/>
  <c r="P14" i="1"/>
  <c r="P13" i="1"/>
  <c r="P12" i="1"/>
  <c r="P11" i="1"/>
  <c r="P10" i="1"/>
  <c r="P9" i="1"/>
  <c r="P7" i="1"/>
  <c r="P2" i="1"/>
  <c r="P6" i="1"/>
  <c r="P5" i="1"/>
  <c r="P4" i="1"/>
</calcChain>
</file>

<file path=xl/sharedStrings.xml><?xml version="1.0" encoding="utf-8"?>
<sst xmlns="http://schemas.openxmlformats.org/spreadsheetml/2006/main" count="97" uniqueCount="59">
  <si>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</si>
  <si>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</si>
  <si>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</si>
  <si>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</si>
  <si>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</si>
  <si>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</si>
  <si>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</si>
  <si>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</si>
  <si>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</si>
  <si>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</si>
  <si>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</si>
  <si>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</si>
  <si>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</si>
  <si>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</si>
  <si>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</si>
  <si>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</si>
  <si>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</si>
  <si>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</si>
  <si>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</si>
  <si>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</si>
  <si>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</si>
  <si>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</si>
  <si>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</si>
  <si>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</si>
  <si>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</si>
  <si>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</si>
  <si>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</si>
  <si>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</si>
  <si>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</si>
  <si>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</si>
  <si>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</si>
  <si>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</si>
  <si>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</si>
  <si>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</si>
  <si>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</si>
  <si>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</si>
  <si>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</si>
  <si>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</si>
  <si>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STATISTICAL FUNCTIONS</t>
  </si>
  <si>
    <t>COUNT</t>
  </si>
  <si>
    <t>COUNTA</t>
  </si>
  <si>
    <t>BLANK</t>
  </si>
  <si>
    <t>COUNTIF</t>
  </si>
  <si>
    <t>MEAN</t>
  </si>
  <si>
    <t>MEDIAN</t>
  </si>
  <si>
    <t>MODE</t>
  </si>
  <si>
    <t>SUM</t>
  </si>
  <si>
    <t>MAX</t>
  </si>
  <si>
    <t>MIN</t>
  </si>
  <si>
    <t>MINIF</t>
  </si>
  <si>
    <t>STDDEV</t>
  </si>
  <si>
    <t>S</t>
  </si>
  <si>
    <t>VARIANCE</t>
  </si>
  <si>
    <t>VARS</t>
  </si>
  <si>
    <t>VARP</t>
  </si>
  <si>
    <t xml:space="preserve"> </t>
  </si>
  <si>
    <t>FRANCE</t>
  </si>
  <si>
    <t>SPAIN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</si>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</sst>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B4681-A199-4A9F-A21E-F6B3A867ECB4}">
  <dimension ref="A1:Q28"/>
  <sheetViews>
    <sheetView tabSelected="1" topLeftCell="A4" zoomScale="130" zoomScaleNormal="130" workbookViewId="0">
      <selection activeCell="H27" sqref="H27"/>
    </sheetView>
  </sheetViews>
  <sheetFormatPr defaultRowHeight="15" x14ac:dyDescent="0.25"/>
  <cols>
    <col min="1" max="1" width="11.28515625" customWidth="1"/>
    <col min="2" max="2" width="15.140625" customWidth="1"/>
    <col min="5" max="5" width="11" customWidth="1"/>
    <col min="10" max="10" width="10.85546875" customWidth="1"/>
    <col min="13" max="13" width="14.42578125" customWidth="1"/>
    <col min="14" max="14" width="10.28515625" customWidth="1"/>
    <col min="15" max="15" width="9.140625" style="2"/>
    <col min="16" max="16" width="11.7109375" bestFit="1" customWidth="1"/>
  </cols>
  <sheetData>
    <row r="1" spans="1:16" ht="33.75" x14ac:dyDescent="0.5">
      <c r="E1" s="1" t="s">
        <v>38</v>
      </c>
      <c r="F1" s="1"/>
      <c r="G1" s="1"/>
      <c r="H1" s="1"/>
      <c r="I1" s="1"/>
      <c r="J1" s="1"/>
      <c r="K1" s="1"/>
      <c r="L1" s="1"/>
    </row>
    <row r="2" spans="1:1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P2">
        <f>COUNT(A2:N2)</f>
        <v>0</v>
      </c>
    </row>
    <row r="3" spans="1:16" x14ac:dyDescent="0.25">
      <c r="A3">
        <v>1</v>
      </c>
      <c r="B3">
        <v>15634602</v>
      </c>
      <c r="C3" t="s">
        <v>13</v>
      </c>
      <c r="D3">
        <v>619</v>
      </c>
      <c r="E3" t="s">
        <v>14</v>
      </c>
      <c r="F3" t="s">
        <v>15</v>
      </c>
      <c r="G3">
        <v>42</v>
      </c>
      <c r="H3">
        <v>2</v>
      </c>
      <c r="I3">
        <v>0</v>
      </c>
      <c r="J3">
        <v>1</v>
      </c>
      <c r="K3">
        <v>1</v>
      </c>
      <c r="L3">
        <v>1</v>
      </c>
      <c r="M3">
        <v>101348.88</v>
      </c>
      <c r="N3">
        <f>IF(E3="FRANCE",1,IF(E3="SPAIN",2,IF(E3="GERMANY",3)))</f>
        <v>1</v>
      </c>
    </row>
    <row r="4" spans="1:16" x14ac:dyDescent="0.25">
      <c r="A4">
        <v>2</v>
      </c>
      <c r="B4">
        <v>15647311</v>
      </c>
      <c r="C4" t="s">
        <v>16</v>
      </c>
      <c r="D4">
        <v>608</v>
      </c>
      <c r="E4" t="s">
        <v>17</v>
      </c>
      <c r="F4" t="s">
        <v>15</v>
      </c>
      <c r="G4">
        <v>41</v>
      </c>
      <c r="H4">
        <v>1</v>
      </c>
      <c r="I4">
        <v>83807.86</v>
      </c>
      <c r="J4">
        <v>1</v>
      </c>
      <c r="K4">
        <v>0</v>
      </c>
      <c r="L4">
        <v>1</v>
      </c>
      <c r="M4">
        <v>112542.58</v>
      </c>
      <c r="N4">
        <f t="shared" ref="N4:N22" si="0">IF(E4="FRANCE",1,IF(E4="SPAIN",2,IF(E4="GERMANY",3)))</f>
        <v>2</v>
      </c>
      <c r="O4" s="2" t="s">
        <v>39</v>
      </c>
      <c r="P4">
        <f>COUNT((A:A))</f>
        <v>22</v>
      </c>
    </row>
    <row r="5" spans="1:16" x14ac:dyDescent="0.25">
      <c r="A5">
        <v>3</v>
      </c>
      <c r="B5">
        <v>15619304</v>
      </c>
      <c r="C5" t="s">
        <v>18</v>
      </c>
      <c r="D5">
        <v>502</v>
      </c>
      <c r="E5" t="s">
        <v>14</v>
      </c>
      <c r="F5" t="s">
        <v>15</v>
      </c>
      <c r="G5">
        <v>42</v>
      </c>
      <c r="H5">
        <v>8</v>
      </c>
      <c r="I5">
        <v>159660.79999999999</v>
      </c>
      <c r="J5">
        <v>3</v>
      </c>
      <c r="K5">
        <v>1</v>
      </c>
      <c r="L5">
        <v>0</v>
      </c>
      <c r="M5">
        <v>113931.57</v>
      </c>
      <c r="N5">
        <f t="shared" si="0"/>
        <v>1</v>
      </c>
      <c r="O5" s="2" t="s">
        <v>40</v>
      </c>
      <c r="P5">
        <f>COUNTA(A:A)</f>
        <v>23</v>
      </c>
    </row>
    <row r="6" spans="1:16" x14ac:dyDescent="0.25">
      <c r="A6">
        <v>4</v>
      </c>
      <c r="B6">
        <v>15701354</v>
      </c>
      <c r="C6" t="s">
        <v>19</v>
      </c>
      <c r="D6">
        <v>699</v>
      </c>
      <c r="E6" t="s">
        <v>14</v>
      </c>
      <c r="F6" t="s">
        <v>15</v>
      </c>
      <c r="G6">
        <v>39</v>
      </c>
      <c r="H6">
        <v>1</v>
      </c>
      <c r="I6">
        <v>0</v>
      </c>
      <c r="J6">
        <v>2</v>
      </c>
      <c r="K6">
        <v>0</v>
      </c>
      <c r="L6">
        <v>0</v>
      </c>
      <c r="M6">
        <v>93826.63</v>
      </c>
      <c r="N6">
        <f t="shared" si="0"/>
        <v>1</v>
      </c>
      <c r="O6" s="2" t="s">
        <v>41</v>
      </c>
      <c r="P6">
        <f>COUNTBLANK(A2:A27)</f>
        <v>3</v>
      </c>
    </row>
    <row r="7" spans="1:16" x14ac:dyDescent="0.25">
      <c r="A7">
        <v>5</v>
      </c>
      <c r="B7">
        <v>15737888</v>
      </c>
      <c r="C7" t="s">
        <v>20</v>
      </c>
      <c r="D7">
        <v>850</v>
      </c>
      <c r="E7" t="s">
        <v>17</v>
      </c>
      <c r="F7" t="s">
        <v>15</v>
      </c>
      <c r="G7">
        <v>43</v>
      </c>
      <c r="H7">
        <v>2</v>
      </c>
      <c r="I7">
        <v>125510.82</v>
      </c>
      <c r="J7">
        <v>1</v>
      </c>
      <c r="K7">
        <v>1</v>
      </c>
      <c r="L7">
        <v>1</v>
      </c>
      <c r="M7">
        <v>79084.100000000006</v>
      </c>
      <c r="N7">
        <f t="shared" si="0"/>
        <v>2</v>
      </c>
      <c r="O7" s="2" t="s">
        <v>42</v>
      </c>
      <c r="P7">
        <f>COUNTIF(A:A,"&gt;5")</f>
        <v>17</v>
      </c>
    </row>
    <row r="8" spans="1:16" x14ac:dyDescent="0.25">
      <c r="A8">
        <v>6</v>
      </c>
      <c r="B8">
        <v>15574012</v>
      </c>
      <c r="C8" t="s">
        <v>21</v>
      </c>
      <c r="D8">
        <v>645</v>
      </c>
      <c r="E8" t="s">
        <v>17</v>
      </c>
      <c r="F8" t="s">
        <v>22</v>
      </c>
      <c r="G8">
        <v>44</v>
      </c>
      <c r="H8">
        <v>8</v>
      </c>
      <c r="I8">
        <v>113755.78</v>
      </c>
      <c r="J8">
        <v>2</v>
      </c>
      <c r="K8">
        <v>1</v>
      </c>
      <c r="L8">
        <v>0</v>
      </c>
      <c r="M8">
        <v>149756.71</v>
      </c>
      <c r="N8">
        <f t="shared" si="0"/>
        <v>2</v>
      </c>
    </row>
    <row r="9" spans="1:16" x14ac:dyDescent="0.25">
      <c r="A9">
        <v>7</v>
      </c>
      <c r="B9">
        <v>15592531</v>
      </c>
      <c r="C9" t="s">
        <v>23</v>
      </c>
      <c r="D9">
        <v>822</v>
      </c>
      <c r="E9" t="s">
        <v>14</v>
      </c>
      <c r="F9" t="s">
        <v>22</v>
      </c>
      <c r="G9">
        <v>50</v>
      </c>
      <c r="H9">
        <v>7</v>
      </c>
      <c r="I9">
        <v>0</v>
      </c>
      <c r="J9">
        <v>2</v>
      </c>
      <c r="K9">
        <v>1</v>
      </c>
      <c r="L9">
        <v>1</v>
      </c>
      <c r="M9">
        <v>10062.799999999999</v>
      </c>
      <c r="N9">
        <f t="shared" si="0"/>
        <v>1</v>
      </c>
      <c r="O9" s="2" t="s">
        <v>43</v>
      </c>
      <c r="P9">
        <f>AVERAGE(G3:G22)</f>
        <v>37.299999999999997</v>
      </c>
    </row>
    <row r="10" spans="1:16" x14ac:dyDescent="0.25">
      <c r="A10">
        <v>8</v>
      </c>
      <c r="B10">
        <v>15656148</v>
      </c>
      <c r="C10" t="s">
        <v>24</v>
      </c>
      <c r="D10">
        <v>376</v>
      </c>
      <c r="E10" t="s">
        <v>25</v>
      </c>
      <c r="F10" t="s">
        <v>15</v>
      </c>
      <c r="G10">
        <v>29</v>
      </c>
      <c r="H10">
        <v>4</v>
      </c>
      <c r="I10">
        <v>115046.74</v>
      </c>
      <c r="J10">
        <v>4</v>
      </c>
      <c r="K10">
        <v>1</v>
      </c>
      <c r="L10">
        <v>0</v>
      </c>
      <c r="M10">
        <v>119346.88</v>
      </c>
      <c r="N10">
        <f t="shared" si="0"/>
        <v>3</v>
      </c>
      <c r="O10" s="2" t="s">
        <v>44</v>
      </c>
      <c r="P10">
        <f>MEDIAN(G3:G22)</f>
        <v>40</v>
      </c>
    </row>
    <row r="11" spans="1:16" x14ac:dyDescent="0.25">
      <c r="A11">
        <v>9</v>
      </c>
      <c r="B11">
        <v>15792365</v>
      </c>
      <c r="C11" t="s">
        <v>26</v>
      </c>
      <c r="D11">
        <v>501</v>
      </c>
      <c r="E11" t="s">
        <v>14</v>
      </c>
      <c r="F11" t="s">
        <v>22</v>
      </c>
      <c r="G11">
        <v>44</v>
      </c>
      <c r="H11">
        <v>4</v>
      </c>
      <c r="I11">
        <v>142051.07</v>
      </c>
      <c r="J11">
        <v>2</v>
      </c>
      <c r="K11">
        <v>0</v>
      </c>
      <c r="L11">
        <v>1</v>
      </c>
      <c r="M11">
        <v>74940.5</v>
      </c>
      <c r="N11">
        <f t="shared" si="0"/>
        <v>1</v>
      </c>
      <c r="O11" s="2" t="s">
        <v>45</v>
      </c>
      <c r="P11">
        <f>MODE(G3:G22)</f>
        <v>24</v>
      </c>
    </row>
    <row r="12" spans="1:16" x14ac:dyDescent="0.25">
      <c r="A12">
        <v>10</v>
      </c>
      <c r="B12">
        <v>15592389</v>
      </c>
      <c r="C12" t="s">
        <v>27</v>
      </c>
      <c r="D12">
        <v>684</v>
      </c>
      <c r="E12" t="s">
        <v>14</v>
      </c>
      <c r="F12" t="s">
        <v>22</v>
      </c>
      <c r="G12">
        <v>27</v>
      </c>
      <c r="H12">
        <v>2</v>
      </c>
      <c r="I12">
        <v>134603.88</v>
      </c>
      <c r="J12">
        <v>1</v>
      </c>
      <c r="K12">
        <v>1</v>
      </c>
      <c r="L12">
        <v>1</v>
      </c>
      <c r="M12">
        <v>71725.73</v>
      </c>
      <c r="N12">
        <f t="shared" si="0"/>
        <v>1</v>
      </c>
      <c r="O12" s="2" t="s">
        <v>46</v>
      </c>
      <c r="P12">
        <f>SUM(I3:I22)</f>
        <v>1252185.96</v>
      </c>
    </row>
    <row r="13" spans="1:16" x14ac:dyDescent="0.25">
      <c r="A13">
        <v>11</v>
      </c>
      <c r="B13">
        <v>15767821</v>
      </c>
      <c r="C13" t="s">
        <v>28</v>
      </c>
      <c r="D13">
        <v>528</v>
      </c>
      <c r="E13" t="s">
        <v>14</v>
      </c>
      <c r="F13" t="s">
        <v>22</v>
      </c>
      <c r="G13">
        <v>31</v>
      </c>
      <c r="H13">
        <v>6</v>
      </c>
      <c r="I13">
        <v>102016.72</v>
      </c>
      <c r="J13">
        <v>2</v>
      </c>
      <c r="K13">
        <v>0</v>
      </c>
      <c r="L13">
        <v>0</v>
      </c>
      <c r="M13">
        <v>80181.119999999995</v>
      </c>
      <c r="N13">
        <f t="shared" si="0"/>
        <v>1</v>
      </c>
      <c r="O13" s="2" t="s">
        <v>47</v>
      </c>
      <c r="P13">
        <f>MAX(D3:D22)</f>
        <v>850</v>
      </c>
    </row>
    <row r="14" spans="1:16" x14ac:dyDescent="0.25">
      <c r="A14">
        <v>12</v>
      </c>
      <c r="B14">
        <v>15737173</v>
      </c>
      <c r="C14" t="s">
        <v>29</v>
      </c>
      <c r="D14">
        <v>497</v>
      </c>
      <c r="E14" t="s">
        <v>17</v>
      </c>
      <c r="F14" t="s">
        <v>22</v>
      </c>
      <c r="G14">
        <v>24</v>
      </c>
      <c r="H14">
        <v>3</v>
      </c>
      <c r="I14">
        <v>0</v>
      </c>
      <c r="J14">
        <v>2</v>
      </c>
      <c r="K14">
        <v>1</v>
      </c>
      <c r="L14">
        <v>0</v>
      </c>
      <c r="M14">
        <v>76390.009999999995</v>
      </c>
      <c r="N14">
        <f t="shared" si="0"/>
        <v>2</v>
      </c>
      <c r="O14" s="2" t="s">
        <v>48</v>
      </c>
      <c r="P14">
        <f>MIN(D3:D22)</f>
        <v>376</v>
      </c>
    </row>
    <row r="15" spans="1:16" x14ac:dyDescent="0.25">
      <c r="A15">
        <v>13</v>
      </c>
      <c r="B15">
        <v>15632264</v>
      </c>
      <c r="C15" t="s">
        <v>30</v>
      </c>
      <c r="D15">
        <v>476</v>
      </c>
      <c r="E15" t="s">
        <v>14</v>
      </c>
      <c r="F15" t="s">
        <v>15</v>
      </c>
      <c r="G15">
        <v>34</v>
      </c>
      <c r="H15">
        <v>10</v>
      </c>
      <c r="I15">
        <v>0</v>
      </c>
      <c r="J15">
        <v>2</v>
      </c>
      <c r="K15">
        <v>1</v>
      </c>
      <c r="L15">
        <v>0</v>
      </c>
      <c r="M15">
        <v>26260.98</v>
      </c>
      <c r="N15">
        <f t="shared" si="0"/>
        <v>1</v>
      </c>
      <c r="P15">
        <f>MINA(D3:D22)</f>
        <v>376</v>
      </c>
    </row>
    <row r="16" spans="1:16" x14ac:dyDescent="0.25">
      <c r="A16">
        <v>14</v>
      </c>
      <c r="B16">
        <v>15691483</v>
      </c>
      <c r="C16" t="s">
        <v>31</v>
      </c>
      <c r="D16">
        <v>549</v>
      </c>
      <c r="E16" t="s">
        <v>14</v>
      </c>
      <c r="F16" t="s">
        <v>15</v>
      </c>
      <c r="G16">
        <v>25</v>
      </c>
      <c r="H16">
        <v>5</v>
      </c>
      <c r="I16">
        <v>0</v>
      </c>
      <c r="J16">
        <v>2</v>
      </c>
      <c r="K16">
        <v>0</v>
      </c>
      <c r="L16">
        <v>0</v>
      </c>
      <c r="M16">
        <v>190857.79</v>
      </c>
      <c r="N16">
        <f t="shared" si="0"/>
        <v>1</v>
      </c>
      <c r="O16" s="2" t="s">
        <v>49</v>
      </c>
    </row>
    <row r="17" spans="1:17" x14ac:dyDescent="0.25">
      <c r="A17">
        <v>15</v>
      </c>
      <c r="B17">
        <v>15600882</v>
      </c>
      <c r="C17" t="s">
        <v>32</v>
      </c>
      <c r="D17">
        <v>635</v>
      </c>
      <c r="E17" t="s">
        <v>17</v>
      </c>
      <c r="F17" t="s">
        <v>15</v>
      </c>
      <c r="G17">
        <v>35</v>
      </c>
      <c r="H17">
        <v>7</v>
      </c>
      <c r="I17">
        <v>0</v>
      </c>
      <c r="J17">
        <v>2</v>
      </c>
      <c r="K17">
        <v>1</v>
      </c>
      <c r="L17">
        <v>1</v>
      </c>
      <c r="M17">
        <v>65951.649999999994</v>
      </c>
      <c r="N17">
        <f t="shared" si="0"/>
        <v>2</v>
      </c>
      <c r="O17" s="2" t="s">
        <v>50</v>
      </c>
      <c r="P17">
        <f>_xlfn.STDEV.P(I3:I22)</f>
        <v>64350.45232493402</v>
      </c>
    </row>
    <row r="18" spans="1:17" x14ac:dyDescent="0.25">
      <c r="A18">
        <v>16</v>
      </c>
      <c r="B18">
        <v>15643966</v>
      </c>
      <c r="C18" t="s">
        <v>33</v>
      </c>
      <c r="D18">
        <v>616</v>
      </c>
      <c r="E18" t="s">
        <v>25</v>
      </c>
      <c r="F18" t="s">
        <v>22</v>
      </c>
      <c r="G18">
        <v>45</v>
      </c>
      <c r="H18">
        <v>3</v>
      </c>
      <c r="I18">
        <v>143129.41</v>
      </c>
      <c r="J18">
        <v>2</v>
      </c>
      <c r="K18">
        <v>0</v>
      </c>
      <c r="L18">
        <v>1</v>
      </c>
      <c r="M18">
        <v>64327.26</v>
      </c>
      <c r="N18">
        <f t="shared" si="0"/>
        <v>3</v>
      </c>
      <c r="O18" s="2" t="s">
        <v>51</v>
      </c>
      <c r="P18">
        <f>_xlfn.STDEV.S(I3:I22)</f>
        <v>66022.171032270082</v>
      </c>
    </row>
    <row r="19" spans="1:17" x14ac:dyDescent="0.25">
      <c r="A19">
        <v>17</v>
      </c>
      <c r="B19">
        <v>15737452</v>
      </c>
      <c r="C19" t="s">
        <v>34</v>
      </c>
      <c r="D19">
        <v>653</v>
      </c>
      <c r="E19" t="s">
        <v>25</v>
      </c>
      <c r="F19" t="s">
        <v>22</v>
      </c>
      <c r="G19">
        <v>58</v>
      </c>
      <c r="H19">
        <v>1</v>
      </c>
      <c r="I19">
        <v>132602.88</v>
      </c>
      <c r="J19">
        <v>1</v>
      </c>
      <c r="K19">
        <v>1</v>
      </c>
      <c r="L19">
        <v>0</v>
      </c>
      <c r="M19">
        <v>5097.67</v>
      </c>
      <c r="N19">
        <f t="shared" si="0"/>
        <v>3</v>
      </c>
      <c r="O19" s="2" t="s">
        <v>54</v>
      </c>
      <c r="P19">
        <f>_xlfn.VAR.P(D3:D22)</f>
        <v>12831.69</v>
      </c>
    </row>
    <row r="20" spans="1:17" x14ac:dyDescent="0.25">
      <c r="A20">
        <v>18</v>
      </c>
      <c r="B20">
        <v>15788218</v>
      </c>
      <c r="C20" t="s">
        <v>35</v>
      </c>
      <c r="D20">
        <v>549</v>
      </c>
      <c r="E20" t="s">
        <v>17</v>
      </c>
      <c r="F20" t="s">
        <v>15</v>
      </c>
      <c r="G20">
        <v>24</v>
      </c>
      <c r="H20">
        <v>9</v>
      </c>
      <c r="I20">
        <v>0</v>
      </c>
      <c r="J20">
        <v>2</v>
      </c>
      <c r="K20">
        <v>1</v>
      </c>
      <c r="L20">
        <v>1</v>
      </c>
      <c r="M20">
        <v>14406.41</v>
      </c>
      <c r="N20">
        <f t="shared" si="0"/>
        <v>2</v>
      </c>
      <c r="O20" s="2" t="s">
        <v>53</v>
      </c>
      <c r="P20">
        <f>_xlfn.VAR.S(D3:D22)</f>
        <v>13507.042105263148</v>
      </c>
    </row>
    <row r="21" spans="1:17" x14ac:dyDescent="0.25">
      <c r="A21">
        <v>19</v>
      </c>
      <c r="B21">
        <v>15661507</v>
      </c>
      <c r="C21" t="s">
        <v>36</v>
      </c>
      <c r="D21">
        <v>587</v>
      </c>
      <c r="E21" t="s">
        <v>17</v>
      </c>
      <c r="F21" t="s">
        <v>22</v>
      </c>
      <c r="G21">
        <v>45</v>
      </c>
      <c r="H21">
        <v>6</v>
      </c>
      <c r="I21">
        <v>0</v>
      </c>
      <c r="J21">
        <v>1</v>
      </c>
      <c r="K21">
        <v>0</v>
      </c>
      <c r="L21">
        <v>0</v>
      </c>
      <c r="M21">
        <v>158684.81</v>
      </c>
      <c r="N21">
        <f t="shared" si="0"/>
        <v>2</v>
      </c>
      <c r="O21" s="2" t="s">
        <v>52</v>
      </c>
      <c r="P21">
        <f>VAR(D3:D22)</f>
        <v>13507.042105263148</v>
      </c>
    </row>
    <row r="22" spans="1:17" x14ac:dyDescent="0.25">
      <c r="A22">
        <v>20</v>
      </c>
      <c r="B22">
        <v>15568982</v>
      </c>
      <c r="C22" t="s">
        <v>37</v>
      </c>
      <c r="D22">
        <v>726</v>
      </c>
      <c r="E22" t="s">
        <v>14</v>
      </c>
      <c r="F22" t="s">
        <v>15</v>
      </c>
      <c r="G22">
        <v>24</v>
      </c>
      <c r="H22">
        <v>6</v>
      </c>
      <c r="I22">
        <v>0</v>
      </c>
      <c r="J22">
        <v>2</v>
      </c>
      <c r="K22">
        <v>1</v>
      </c>
      <c r="L22">
        <v>1</v>
      </c>
      <c r="M22">
        <v>54724.03</v>
      </c>
      <c r="N22">
        <f t="shared" si="0"/>
        <v>1</v>
      </c>
    </row>
    <row r="23" spans="1:17" x14ac:dyDescent="0.25">
      <c r="M23" s="2" t="s">
        <v>45</v>
      </c>
      <c r="N23">
        <f>MODE(N3:N22)</f>
        <v>1</v>
      </c>
    </row>
    <row r="24" spans="1:17" x14ac:dyDescent="0.25">
      <c r="O24" s="2" t="s">
        <v>45</v>
      </c>
    </row>
    <row r="25" spans="1:17" x14ac:dyDescent="0.25">
      <c r="O25" s="2" t="str">
        <f>INDEX(E3:E22,MODE(MATCH(E3:E22,E3:E22,0)))</f>
        <v>France</v>
      </c>
      <c r="P25" t="s">
        <v>55</v>
      </c>
    </row>
    <row r="26" spans="1:17" x14ac:dyDescent="0.25">
      <c r="A26">
        <v>24</v>
      </c>
      <c r="O26" s="2" t="s">
        <v>42</v>
      </c>
      <c r="P26" t="s">
        <v>56</v>
      </c>
      <c r="Q26">
        <f>COUNTIF(E3:E22,"FRANCE")</f>
        <v>10</v>
      </c>
    </row>
    <row r="27" spans="1:17" x14ac:dyDescent="0.25">
      <c r="A27">
        <v>25</v>
      </c>
      <c r="P27" t="s">
        <v>57</v>
      </c>
      <c r="Q27">
        <f>COUNTIF(E3:E22,"SPAIN")</f>
        <v>7</v>
      </c>
    </row>
    <row r="28" spans="1:17" x14ac:dyDescent="0.25">
      <c r="P28" t="s">
        <v>58</v>
      </c>
      <c r="Q28">
        <f>COUNTIF(E3:E22,"GERMANY")</f>
        <v>3</v>
      </c>
    </row>
  </sheetData>
  <mergeCells count="1">
    <mergeCell ref="E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2026-06-02T08:58:49Z</dcterms:created>
  <dcterms:modified xsi:type="dcterms:W3CDTF">2026-06-02T11:25:03Z</dcterms:modified>
</cp:coreProperties>
</file>