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MITS\Downloads\"/>
    </mc:Choice>
  </mc:AlternateContent>
  <xr:revisionPtr revIDLastSave="0" documentId="13_ncr:1_{ECC8C9B8-A9DE-418F-A371-1A545AB5F3A9}" xr6:coauthVersionLast="47" xr6:coauthVersionMax="47" xr10:uidLastSave="{00000000-0000-0000-0000-000000000000}"/>
  <bookViews>
    <workbookView xWindow="-120" yWindow="-120" windowWidth="29040" windowHeight="15720" xr2:uid="{87E35BA0-6189-41E8-91C2-5B58814795A3}"/>
  </bookViews>
  <sheets>
    <sheet name="Sheet1" sheetId="1" r:id="rId1"/>
  </sheets>
  <definedNames>
    <definedName name="_xlnm._FilterDatabase" localSheetId="0" hidden="1">Sheet1!$V$69:$AG$89</definedName>
    <definedName name="Slicer_OrderID">#N/A</definedName>
    <definedName name="Slicer_Product">#N/A</definedName>
    <definedName name="Slicer_Region">#N/A</definedName>
    <definedName name="Slicer_Salesperson">#N/A</definedName>
    <definedName name="Slicer_Salesperson1">#N/A</definedName>
  </definedNames>
  <calcPr calcId="191029"/>
  <pivotCaches>
    <pivotCache cacheId="0" r:id="rId2"/>
    <pivotCache cacheId="1" r:id="rId3"/>
    <pivotCache cacheId="2"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13" i="1" l="1"/>
  <c r="AD122" i="1" s="1"/>
  <c r="AC114" i="1"/>
  <c r="AC115" i="1"/>
  <c r="AC116" i="1"/>
  <c r="AC112" i="1"/>
  <c r="AA121" i="1" s="1"/>
  <c r="AG85" i="1"/>
  <c r="AG86" i="1"/>
  <c r="AG87" i="1"/>
  <c r="AG88" i="1"/>
  <c r="AG89" i="1"/>
  <c r="AG77" i="1"/>
  <c r="AG78" i="1"/>
  <c r="AG79" i="1"/>
  <c r="AG80" i="1"/>
  <c r="AG81" i="1"/>
  <c r="AG82" i="1"/>
  <c r="AG83" i="1"/>
  <c r="AG84" i="1"/>
  <c r="AG74" i="1"/>
  <c r="AG75" i="1"/>
  <c r="AG76" i="1"/>
  <c r="AG71" i="1"/>
  <c r="AG72" i="1"/>
  <c r="AG73" i="1"/>
  <c r="AG70" i="1"/>
  <c r="F64" i="1"/>
  <c r="E63" i="1"/>
</calcChain>
</file>

<file path=xl/sharedStrings.xml><?xml version="1.0" encoding="utf-8"?>
<sst xmlns="http://schemas.openxmlformats.org/spreadsheetml/2006/main" count="504" uniqueCount="217">
  <si>
    <t>Statistical Analysis</t>
  </si>
  <si>
    <t>Anova: Single Factor</t>
  </si>
  <si>
    <t>SUMMARY</t>
  </si>
  <si>
    <t>Groups</t>
  </si>
  <si>
    <t>Count</t>
  </si>
  <si>
    <t>Sum</t>
  </si>
  <si>
    <t>Average</t>
  </si>
  <si>
    <t>Variance</t>
  </si>
  <si>
    <t>ANOVA</t>
  </si>
  <si>
    <t>Source of Variation</t>
  </si>
  <si>
    <t>SS</t>
  </si>
  <si>
    <t>df</t>
  </si>
  <si>
    <t>MS</t>
  </si>
  <si>
    <t>F</t>
  </si>
  <si>
    <t>P-value</t>
  </si>
  <si>
    <t>F crit</t>
  </si>
  <si>
    <t>Between Groups</t>
  </si>
  <si>
    <t>Within Groups</t>
  </si>
  <si>
    <t>Total</t>
  </si>
  <si>
    <t>Anova: Two-Factor Without Replication</t>
  </si>
  <si>
    <t>Rows</t>
  </si>
  <si>
    <t>Columns</t>
  </si>
  <si>
    <t>Error</t>
  </si>
  <si>
    <t>Covariance</t>
  </si>
  <si>
    <t>Mean</t>
  </si>
  <si>
    <t>Standard Error</t>
  </si>
  <si>
    <t>Median</t>
  </si>
  <si>
    <t>Mode</t>
  </si>
  <si>
    <t>Standard Deviation</t>
  </si>
  <si>
    <t>Sample Variance</t>
  </si>
  <si>
    <t>Kurtosis</t>
  </si>
  <si>
    <t>Skewness</t>
  </si>
  <si>
    <t>Range</t>
  </si>
  <si>
    <t>Minimum</t>
  </si>
  <si>
    <t>Maximum</t>
  </si>
  <si>
    <t>Descriptive Statistics</t>
  </si>
  <si>
    <t>Department</t>
  </si>
  <si>
    <t>CSE</t>
  </si>
  <si>
    <t>Male</t>
  </si>
  <si>
    <t>Female</t>
  </si>
  <si>
    <t>ECE</t>
  </si>
  <si>
    <t>MECH</t>
  </si>
  <si>
    <t>Correlation</t>
  </si>
  <si>
    <t>Largest(1)</t>
  </si>
  <si>
    <t>Smallest(1)</t>
  </si>
  <si>
    <t>Confidence Level(95.0%)</t>
  </si>
  <si>
    <t>Anova: Two-Factor With Replication</t>
  </si>
  <si>
    <t>Sample</t>
  </si>
  <si>
    <t>Interaction</t>
  </si>
  <si>
    <t>Within</t>
  </si>
  <si>
    <t>F-Test Two-Sample for Variances</t>
  </si>
  <si>
    <t>Observations</t>
  </si>
  <si>
    <t>P(F&lt;=f) one-tail</t>
  </si>
  <si>
    <t>F Critical one-tail</t>
  </si>
  <si>
    <t>t-Test: Two-Sample Assuming Unequal Variances</t>
  </si>
  <si>
    <t>Hypothesized Mean Difference</t>
  </si>
  <si>
    <t>t Stat</t>
  </si>
  <si>
    <t>P(T&lt;=t) one-tail</t>
  </si>
  <si>
    <t>t Critical one-tail</t>
  </si>
  <si>
    <t>P(T&lt;=t) two-tail</t>
  </si>
  <si>
    <t>t Critical two-tail</t>
  </si>
  <si>
    <t>z-Test: Two Sample for Means</t>
  </si>
  <si>
    <t>Known Variance</t>
  </si>
  <si>
    <t>z</t>
  </si>
  <si>
    <t>P(Z&lt;=z) one-tail</t>
  </si>
  <si>
    <t>z Critical one-tail</t>
  </si>
  <si>
    <t>P(Z&lt;=z) two-tail</t>
  </si>
  <si>
    <t>z Critical two-tail</t>
  </si>
  <si>
    <t>OrderID</t>
  </si>
  <si>
    <t>Region</t>
  </si>
  <si>
    <t>Salesperson</t>
  </si>
  <si>
    <t>Product</t>
  </si>
  <si>
    <t>Category</t>
  </si>
  <si>
    <t>Quantity</t>
  </si>
  <si>
    <t>Sales</t>
  </si>
  <si>
    <t>North</t>
  </si>
  <si>
    <t>Ravi</t>
  </si>
  <si>
    <t>Laptop</t>
  </si>
  <si>
    <t>Electronics</t>
  </si>
  <si>
    <t>South</t>
  </si>
  <si>
    <t>Priya</t>
  </si>
  <si>
    <t>Mobile</t>
  </si>
  <si>
    <t>East</t>
  </si>
  <si>
    <t>Arjun</t>
  </si>
  <si>
    <t>Chair</t>
  </si>
  <si>
    <t>Furniture</t>
  </si>
  <si>
    <t>West</t>
  </si>
  <si>
    <t>Sneha</t>
  </si>
  <si>
    <t>Table</t>
  </si>
  <si>
    <t>Printer</t>
  </si>
  <si>
    <t>Desk</t>
  </si>
  <si>
    <t>Row Labels</t>
  </si>
  <si>
    <t>Sum of Sales</t>
  </si>
  <si>
    <t>Grand Total</t>
  </si>
  <si>
    <t>Sum of Quantity</t>
  </si>
  <si>
    <t>EmpID</t>
  </si>
  <si>
    <t>Name</t>
  </si>
  <si>
    <t>Gender</t>
  </si>
  <si>
    <t>Age</t>
  </si>
  <si>
    <t>City</t>
  </si>
  <si>
    <t>Role</t>
  </si>
  <si>
    <t>Salary</t>
  </si>
  <si>
    <t>Experience</t>
  </si>
  <si>
    <t>Performance</t>
  </si>
  <si>
    <t>JoiningYear</t>
  </si>
  <si>
    <t>E101</t>
  </si>
  <si>
    <t>Rahul Sharma</t>
  </si>
  <si>
    <t>Hyderabad</t>
  </si>
  <si>
    <t>IT</t>
  </si>
  <si>
    <t>Software Engineer</t>
  </si>
  <si>
    <t>Excellent</t>
  </si>
  <si>
    <t>E102</t>
  </si>
  <si>
    <t>Priya Reddy</t>
  </si>
  <si>
    <t>Chennai</t>
  </si>
  <si>
    <t>HR</t>
  </si>
  <si>
    <t>HR Executive</t>
  </si>
  <si>
    <t>Good</t>
  </si>
  <si>
    <t>E103</t>
  </si>
  <si>
    <t>Arjun Kumar</t>
  </si>
  <si>
    <t>Bangalore</t>
  </si>
  <si>
    <t>Finance</t>
  </si>
  <si>
    <t>Accountant</t>
  </si>
  <si>
    <t>E104</t>
  </si>
  <si>
    <t>Sneha Patel</t>
  </si>
  <si>
    <t>Mumbai</t>
  </si>
  <si>
    <t>Marketing</t>
  </si>
  <si>
    <t>Marketing Executive</t>
  </si>
  <si>
    <t>E105</t>
  </si>
  <si>
    <t>Vikram Singh</t>
  </si>
  <si>
    <t>Delhi</t>
  </si>
  <si>
    <t>Sales Manager</t>
  </si>
  <si>
    <t>E106</t>
  </si>
  <si>
    <t>Kavya Rao</t>
  </si>
  <si>
    <t>Data Analyst</t>
  </si>
  <si>
    <t>E107</t>
  </si>
  <si>
    <t>Rohit Verma</t>
  </si>
  <si>
    <t>Pune</t>
  </si>
  <si>
    <t>Operations</t>
  </si>
  <si>
    <t>Operations Executive</t>
  </si>
  <si>
    <t>E108</t>
  </si>
  <si>
    <t>Anjali Gupta</t>
  </si>
  <si>
    <t>Tester</t>
  </si>
  <si>
    <t>E109</t>
  </si>
  <si>
    <t>Kiran Das</t>
  </si>
  <si>
    <t>Kolkata</t>
  </si>
  <si>
    <t>Financial Analyst</t>
  </si>
  <si>
    <t>E110</t>
  </si>
  <si>
    <t>Meera Iyer</t>
  </si>
  <si>
    <t>Recruiter</t>
  </si>
  <si>
    <t>E111</t>
  </si>
  <si>
    <t>Suresh Naidu</t>
  </si>
  <si>
    <t>Regional Manager</t>
  </si>
  <si>
    <t>E112</t>
  </si>
  <si>
    <t>Pooja Sharma</t>
  </si>
  <si>
    <t>Content Specialist</t>
  </si>
  <si>
    <t>E113</t>
  </si>
  <si>
    <t>Naveen Reddy</t>
  </si>
  <si>
    <t>System Administrator</t>
  </si>
  <si>
    <t>E114</t>
  </si>
  <si>
    <t>Divya Nair</t>
  </si>
  <si>
    <t>Kochi</t>
  </si>
  <si>
    <t>Senior Accountant</t>
  </si>
  <si>
    <t>E115</t>
  </si>
  <si>
    <t>Manish Jain</t>
  </si>
  <si>
    <t>Team Lead</t>
  </si>
  <si>
    <t>E116</t>
  </si>
  <si>
    <t>Bhavana Roy</t>
  </si>
  <si>
    <t>HR Manager</t>
  </si>
  <si>
    <t>E117</t>
  </si>
  <si>
    <t>Akash Yadav</t>
  </si>
  <si>
    <t>Junior Developer</t>
  </si>
  <si>
    <t>E118</t>
  </si>
  <si>
    <t>Neha Kapoor</t>
  </si>
  <si>
    <t>Sales Executive</t>
  </si>
  <si>
    <t>E119</t>
  </si>
  <si>
    <t>Rakesh Gupta</t>
  </si>
  <si>
    <t>Operations Manager</t>
  </si>
  <si>
    <t>E120</t>
  </si>
  <si>
    <t>Swathi Krishna</t>
  </si>
  <si>
    <t>Digital Marketer</t>
  </si>
  <si>
    <t>Error Checking</t>
  </si>
  <si>
    <t>Text Into Colums</t>
  </si>
  <si>
    <t>Surname</t>
  </si>
  <si>
    <t>Sunil</t>
  </si>
  <si>
    <t>Kumar</t>
  </si>
  <si>
    <t>Mahendrakar</t>
  </si>
  <si>
    <t>Middle Name</t>
  </si>
  <si>
    <t>Address</t>
  </si>
  <si>
    <t>15/85,JMD,Kadapa Dist,A.P,INDIA,516434</t>
  </si>
  <si>
    <t>Sem1</t>
  </si>
  <si>
    <t>Sem2</t>
  </si>
  <si>
    <t>Sem3</t>
  </si>
  <si>
    <t>Sem4</t>
  </si>
  <si>
    <t>Capstone</t>
  </si>
  <si>
    <t>Overall Score</t>
  </si>
  <si>
    <t>Rahul</t>
  </si>
  <si>
    <t>Kiran</t>
  </si>
  <si>
    <t>What-if Analysis</t>
  </si>
  <si>
    <t>capstone</t>
  </si>
  <si>
    <t>Marks</t>
  </si>
  <si>
    <t>Date</t>
  </si>
  <si>
    <t>Voucher Type</t>
  </si>
  <si>
    <t>Voucher no</t>
  </si>
  <si>
    <t>state</t>
  </si>
  <si>
    <t>Courses</t>
  </si>
  <si>
    <t>Lmp/345</t>
  </si>
  <si>
    <t>Lmp/346</t>
  </si>
  <si>
    <t>Lmp/347</t>
  </si>
  <si>
    <t>Lmp/348</t>
  </si>
  <si>
    <t>Andhra Pradesh</t>
  </si>
  <si>
    <t>Maharastra</t>
  </si>
  <si>
    <t>Tamil Nadu</t>
  </si>
  <si>
    <t>Karnataka</t>
  </si>
  <si>
    <t>MS-Office</t>
  </si>
  <si>
    <t>Tally Prime</t>
  </si>
  <si>
    <t>MS in Excel</t>
  </si>
  <si>
    <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</si>
</sst>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4"/>
      <color theme="1"/>
      <name val="Calibri"/>
      <family val="2"/>
      <scheme val="minor"/>
    </font>
    <font>
      <i/>
      <sz val="11"/>
      <color theme="1"/>
      <name val="Calibri"/>
      <family val="2"/>
      <scheme val="minor"/>
    </font>
    <font>
      <b/>
      <i/>
      <sz val="11"/>
      <color theme="1"/>
      <name val="Calibri"/>
      <family val="2"/>
      <scheme val="minor"/>
    </font>
    <font>
      <i/>
      <sz val="10"/>
      <color theme="1"/>
      <name val="Calibri"/>
      <family val="2"/>
      <scheme val="minor"/>
    </font>
    <font>
      <sz val="8"/>
      <name val="Calibri"/>
      <family val="2"/>
      <scheme val="minor"/>
    </font>
  </fonts>
  <fills count="4">
    <fill>
      <patternFill patternType="none"/>
    </fill>
    <fill>
      <patternFill patternType="gray125"/>
    </fill>
    <fill>
      <patternFill patternType="solid">
        <fgColor rgb="FF00B0F0"/>
        <bgColor indexed="64"/>
      </patternFill>
    </fill>
    <fill>
      <patternFill patternType="solid">
        <fgColor theme="7" tint="0.399975585192419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bottom style="medium">
        <color indexed="1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9">
    <xf numFmtId="0" fontId="0" fillId="0" borderId="0" xfId="0"/>
    <xf numFmtId="0" fontId="1" fillId="0" borderId="0" xfId="0" applyFont="1"/>
    <xf numFmtId="0" fontId="3" fillId="0" borderId="0" xfId="0" applyFont="1" applyAlignment="1">
      <alignment horizontal="center"/>
    </xf>
    <xf numFmtId="0" fontId="1" fillId="0" borderId="1" xfId="0" applyFont="1" applyBorder="1" applyAlignment="1">
      <alignment horizontal="center" vertical="center" wrapText="1"/>
    </xf>
    <xf numFmtId="0" fontId="0" fillId="0" borderId="1" xfId="0" applyBorder="1" applyAlignment="1">
      <alignment vertical="center" wrapText="1"/>
    </xf>
    <xf numFmtId="0" fontId="4" fillId="0" borderId="0" xfId="0" applyFont="1" applyAlignment="1">
      <alignment horizontal="center"/>
    </xf>
    <xf numFmtId="0" fontId="0" fillId="0" borderId="2" xfId="0" applyBorder="1"/>
    <xf numFmtId="0" fontId="3" fillId="0" borderId="3" xfId="0" applyFont="1" applyBorder="1" applyAlignment="1">
      <alignment horizontal="center"/>
    </xf>
    <xf numFmtId="0" fontId="5" fillId="0" borderId="4" xfId="0" applyFont="1" applyBorder="1" applyAlignment="1">
      <alignment horizontal="right"/>
    </xf>
    <xf numFmtId="0" fontId="0" fillId="0" borderId="5" xfId="0" applyBorder="1"/>
    <xf numFmtId="0" fontId="0" fillId="0" borderId="6" xfId="0" applyBorder="1"/>
    <xf numFmtId="0" fontId="0" fillId="0" borderId="7" xfId="0" applyBorder="1"/>
    <xf numFmtId="0" fontId="0" fillId="0" borderId="8" xfId="0" applyBorder="1"/>
    <xf numFmtId="0" fontId="2" fillId="2" borderId="0" xfId="0" applyFont="1" applyFill="1"/>
    <xf numFmtId="0" fontId="0" fillId="0" borderId="9" xfId="0" applyBorder="1"/>
    <xf numFmtId="0" fontId="1" fillId="0" borderId="0" xfId="0" applyFont="1" applyAlignment="1">
      <alignment horizontal="center" vertical="center" wrapText="1"/>
    </xf>
    <xf numFmtId="0" fontId="0" fillId="0" borderId="0" xfId="0" applyAlignment="1">
      <alignment vertical="center" wrapText="1"/>
    </xf>
    <xf numFmtId="0" fontId="3" fillId="0" borderId="10" xfId="0" applyFont="1" applyBorder="1" applyAlignment="1">
      <alignment horizontal="center"/>
    </xf>
    <xf numFmtId="0" fontId="0" fillId="0" borderId="11" xfId="0" applyBorder="1"/>
    <xf numFmtId="0" fontId="3" fillId="0" borderId="9" xfId="0" applyFont="1" applyBorder="1" applyAlignment="1">
      <alignment horizontal="center"/>
    </xf>
    <xf numFmtId="0" fontId="4" fillId="0" borderId="9" xfId="0" applyFont="1" applyBorder="1" applyAlignment="1">
      <alignment horizontal="center"/>
    </xf>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1" xfId="0" applyBorder="1"/>
    <xf numFmtId="0" fontId="0" fillId="0" borderId="1" xfId="0" pivotButton="1" applyBorder="1"/>
    <xf numFmtId="0" fontId="0" fillId="0" borderId="1" xfId="0" applyBorder="1" applyAlignment="1">
      <alignment horizontal="left"/>
    </xf>
    <xf numFmtId="0" fontId="0" fillId="0" borderId="23" xfId="0" applyBorder="1"/>
    <xf numFmtId="0" fontId="0" fillId="0" borderId="21" xfId="0" applyBorder="1" applyAlignment="1">
      <alignment horizontal="left"/>
    </xf>
    <xf numFmtId="0" fontId="0" fillId="0" borderId="23" xfId="0" applyBorder="1" applyAlignment="1">
      <alignment horizontal="left"/>
    </xf>
    <xf numFmtId="0" fontId="0" fillId="0" borderId="16" xfId="0" applyBorder="1" applyAlignment="1">
      <alignment horizontal="left"/>
    </xf>
    <xf numFmtId="0" fontId="0" fillId="0" borderId="21" xfId="0" applyBorder="1"/>
    <xf numFmtId="0" fontId="0" fillId="0" borderId="22" xfId="0" applyBorder="1"/>
    <xf numFmtId="0" fontId="0" fillId="0" borderId="22" xfId="0" applyBorder="1" applyAlignment="1">
      <alignment horizontal="left"/>
    </xf>
    <xf numFmtId="0" fontId="3" fillId="0" borderId="16" xfId="0" applyFont="1" applyBorder="1" applyAlignment="1">
      <alignment horizontal="center"/>
    </xf>
    <xf numFmtId="0" fontId="0" fillId="0" borderId="23" xfId="0" pivotButton="1" applyBorder="1"/>
    <xf numFmtId="0" fontId="0" fillId="0" borderId="16" xfId="0" applyBorder="1" applyAlignment="1">
      <alignment horizontal="left" indent="1"/>
    </xf>
    <xf numFmtId="0" fontId="1" fillId="0" borderId="1" xfId="0" applyFont="1" applyBorder="1"/>
    <xf numFmtId="0" fontId="0" fillId="0" borderId="1" xfId="0" applyBorder="1" applyAlignment="1">
      <alignment wrapText="1"/>
    </xf>
    <xf numFmtId="0" fontId="0" fillId="0" borderId="1" xfId="0" applyBorder="1" applyAlignment="1">
      <alignment horizontal="center" vertical="center" wrapText="1"/>
    </xf>
    <xf numFmtId="0" fontId="1" fillId="3" borderId="0" xfId="0" applyFont="1" applyFill="1" applyBorder="1"/>
    <xf numFmtId="0" fontId="0" fillId="0" borderId="0" xfId="0" applyBorder="1"/>
    <xf numFmtId="14" fontId="0" fillId="0" borderId="1" xfId="0" applyNumberFormat="1" applyBorder="1"/>
  </cellXfs>
  <cellStyles count="1">
    <cellStyle name="Normal" xfId="0" builtinId="0"/>
  </cellStyles>
  <dxfs count="46">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pivotCacheDefinition" Target="pivotCache/pivotCacheDefinition2.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3.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[statistical_analysis &amp; Pivot Tableing with graphs (1).xlsx]Sheet1!PivotTable3</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Sheet1!$X$4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Sheet1!$W$5:$W$9</c:f>
              <c:strCache>
                <c:ptCount val="4"/>
                <c:pt idx="0">
                  <c:v>East</c:v>
                </c:pt>
                <c:pt idx="1">
                  <c:v>North</c:v>
                </c:pt>
                <c:pt idx="2">
                  <c:v>South</c:v>
                </c:pt>
                <c:pt idx="3">
                  <c:v>West</c:v>
                </c:pt>
              </c:strCache>
            </c:strRef>
          </c:cat>
          <c:val>
            <c:numRef>
              <c:f>Sheet1!$X$5:$X$9</c:f>
              <c:numCache>
                <c:formatCode>General</c:formatCode>
                <c:ptCount val="4"/>
                <c:pt idx="0">
                  <c:v>177000</c:v>
                </c:pt>
                <c:pt idx="1">
                  <c:v>343000</c:v>
                </c:pt>
                <c:pt idx="2">
                  <c:v>310000</c:v>
                </c:pt>
                <c:pt idx="3">
                  <c:v>226000</c:v>
                </c:pt>
              </c:numCache>
            </c:numRef>
          </c:val>
          <c:extLst>
            <c:ext xmlns:c16="http://schemas.microsoft.com/office/drawing/2014/chart" uri="{C3380CC4-5D6E-409C-BE32-E72D297353CC}">
              <c16:uniqueId val="{00000000-0011-4441-AC37-C43EF8BE175F}"/>
            </c:ext>
          </c:extLst>
        </c:ser>
        <c:dLbls>
          <c:showLegendKey val="0"/>
          <c:showVal val="0"/>
          <c:showCatName val="0"/>
          <c:showSerName val="0"/>
          <c:showPercent val="0"/>
          <c:showBubbleSize val="0"/>
        </c:dLbls>
        <c:gapWidth val="100"/>
        <c:overlap val="-24"/>
        <c:axId val="1319155727"/>
        <c:axId val="1319159567"/>
      </c:barChart>
      <c:catAx>
        <c:axId val="13191557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159567"/>
        <c:crosses val="autoZero"/>
        <c:auto val="1"/>
        <c:lblAlgn val="ctr"/>
        <c:lblOffset val="100"/>
        <c:noMultiLvlLbl val="0"/>
      </c:catAx>
      <c:valAx>
        <c:axId val="13191595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15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[statistical_analysis &amp; Pivot Tableing with graphs (1).xlsx]Sheet1!PivotTable8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Sheet1!$AE$4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Sheet1!$AD$5:$AD$7</c:f>
              <c:strCache>
                <c:ptCount val="2"/>
                <c:pt idx="0">
                  <c:v>Electronics</c:v>
                </c:pt>
                <c:pt idx="1">
                  <c:v>Furniture</c:v>
                </c:pt>
              </c:strCache>
            </c:strRef>
          </c:cat>
          <c:val>
            <c:numRef>
              <c:f>Sheet1!$AE$5:$AE$7</c:f>
              <c:numCache>
                <c:formatCode>General</c:formatCode>
                <c:ptCount val="2"/>
                <c:pt idx="0">
                  <c:v>36</c:v>
                </c:pt>
                <c:pt idx="1">
                  <c:v>27</c:v>
                </c:pt>
              </c:numCache>
            </c:numRef>
          </c:val>
          <c:extLst>
            <c:ext xmlns:c16="http://schemas.microsoft.com/office/drawing/2014/chart" uri="{C3380CC4-5D6E-409C-BE32-E72D297353CC}">
              <c16:uniqueId val="{00000000-9EE2-4435-A943-704C4D0D853B}"/>
            </c:ext>
          </c:extLst>
        </c:ser>
        <c:dLbls>
          <c:showLegendKey val="0"/>
          <c:showVal val="0"/>
          <c:showCatName val="0"/>
          <c:showSerName val="0"/>
          <c:showPercent val="0"/>
          <c:showBubbleSize val="0"/>
        </c:dLbls>
        <c:gapWidth val="100"/>
        <c:overlap val="-24"/>
        <c:axId val="1319145167"/>
        <c:axId val="1319137007"/>
      </c:barChart>
      <c:catAx>
        <c:axId val="13191451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137007"/>
        <c:crosses val="autoZero"/>
        <c:auto val="1"/>
        <c:lblAlgn val="ctr"/>
        <c:lblOffset val="100"/>
        <c:noMultiLvlLbl val="0"/>
      </c:catAx>
      <c:valAx>
        <c:axId val="1319137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14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[statistical_analysis &amp; Pivot Tableing with graphs (1).xlsx]Sheet1!PivotTable4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Sheet1!$X$19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Sheet1!$W$20:$W$24</c:f>
              <c:strCache>
                <c:ptCount val="4"/>
                <c:pt idx="0">
                  <c:v>East</c:v>
                </c:pt>
                <c:pt idx="1">
                  <c:v>North</c:v>
                </c:pt>
                <c:pt idx="2">
                  <c:v>South</c:v>
                </c:pt>
                <c:pt idx="3">
                  <c:v>West</c:v>
                </c:pt>
              </c:strCache>
            </c:strRef>
          </c:cat>
          <c:val>
            <c:numRef>
              <c:f>Sheet1!$X$20:$X$24</c:f>
              <c:numCache>
                <c:formatCode>General</c:formatCode>
                <c:ptCount val="4"/>
                <c:pt idx="0">
                  <c:v>17</c:v>
                </c:pt>
                <c:pt idx="1">
                  <c:v>15</c:v>
                </c:pt>
                <c:pt idx="2">
                  <c:v>18</c:v>
                </c:pt>
                <c:pt idx="3">
                  <c:v>13</c:v>
                </c:pt>
              </c:numCache>
            </c:numRef>
          </c:val>
          <c:extLst>
            <c:ext xmlns:c16="http://schemas.microsoft.com/office/drawing/2014/chart" uri="{C3380CC4-5D6E-409C-BE32-E72D297353CC}">
              <c16:uniqueId val="{00000000-BCAE-4E58-A463-90809DA98216}"/>
            </c:ext>
          </c:extLst>
        </c:ser>
        <c:dLbls>
          <c:showLegendKey val="0"/>
          <c:showVal val="0"/>
          <c:showCatName val="0"/>
          <c:showSerName val="0"/>
          <c:showPercent val="0"/>
          <c:showBubbleSize val="0"/>
        </c:dLbls>
        <c:gapWidth val="100"/>
        <c:overlap val="-24"/>
        <c:axId val="1964346096"/>
        <c:axId val="1964346576"/>
      </c:barChart>
      <c:catAx>
        <c:axId val="19643460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346576"/>
        <c:crosses val="autoZero"/>
        <c:auto val="1"/>
        <c:lblAlgn val="ctr"/>
        <c:lblOffset val="100"/>
        <c:noMultiLvlLbl val="0"/>
      </c:catAx>
      <c:valAx>
        <c:axId val="196434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34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[statistical_analysis &amp; Pivot Tableing with graphs (1).xlsx]Sheet1!PivotTable1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Sheet1!$V$35</c:f>
              <c:strCache>
                <c:ptCount val="1"/>
                <c:pt idx="0">
                  <c:v>Total</c:v>
                </c:pt>
              </c:strCache>
            </c:strRef>
          </c:tx>
          <c:spPr>
            <a:solidFill>
              <a:schemeClr val="accent1"/>
            </a:solidFill>
            <a:ln>
              <a:noFill/>
            </a:ln>
            <a:effectLst/>
          </c:spPr>
          <c:invertIfNegative val="0"/>
          <c:cat>
            <c:strRef>
              <c:f>Sheet1!$U$36:$U$40</c:f>
              <c:strCache>
                <c:ptCount val="4"/>
                <c:pt idx="0">
                  <c:v>East</c:v>
                </c:pt>
                <c:pt idx="1">
                  <c:v>North</c:v>
                </c:pt>
                <c:pt idx="2">
                  <c:v>South</c:v>
                </c:pt>
                <c:pt idx="3">
                  <c:v>West</c:v>
                </c:pt>
              </c:strCache>
            </c:strRef>
          </c:cat>
          <c:val>
            <c:numRef>
              <c:f>Sheet1!$V$36:$V$40</c:f>
              <c:numCache>
                <c:formatCode>General</c:formatCode>
                <c:ptCount val="4"/>
                <c:pt idx="0">
                  <c:v>177000</c:v>
                </c:pt>
                <c:pt idx="1">
                  <c:v>343000</c:v>
                </c:pt>
                <c:pt idx="2">
                  <c:v>310000</c:v>
                </c:pt>
                <c:pt idx="3">
                  <c:v>226000</c:v>
                </c:pt>
              </c:numCache>
            </c:numRef>
          </c:val>
          <c:extLst>
            <c:ext xmlns:c16="http://schemas.microsoft.com/office/drawing/2014/chart" uri="{C3380CC4-5D6E-409C-BE32-E72D297353CC}">
              <c16:uniqueId val="{00000000-CD21-4242-9511-FADAEC5985BB}"/>
            </c:ext>
          </c:extLst>
        </c:ser>
        <c:dLbls>
          <c:showLegendKey val="0"/>
          <c:showVal val="0"/>
          <c:showCatName val="0"/>
          <c:showSerName val="0"/>
          <c:showPercent val="0"/>
          <c:showBubbleSize val="0"/>
        </c:dLbls>
        <c:gapWidth val="219"/>
        <c:overlap val="-27"/>
        <c:axId val="380784095"/>
        <c:axId val="380776895"/>
      </c:barChart>
      <c:catAx>
        <c:axId val="38078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76895"/>
        <c:crosses val="autoZero"/>
        <c:auto val="1"/>
        <c:lblAlgn val="ctr"/>
        <c:lblOffset val="100"/>
        <c:noMultiLvlLbl val="0"/>
      </c:catAx>
      <c:valAx>
        <c:axId val="38077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8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[statistical_analysis &amp; Pivot Tableing with graphs (1).xlsx]Sheet1!PivotTable2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Sheet1!$AE$35</c:f>
              <c:strCache>
                <c:ptCount val="1"/>
                <c:pt idx="0">
                  <c:v>Total</c:v>
                </c:pt>
              </c:strCache>
            </c:strRef>
          </c:tx>
          <c:spPr>
            <a:solidFill>
              <a:schemeClr val="accent1"/>
            </a:solidFill>
            <a:ln>
              <a:noFill/>
            </a:ln>
            <a:effectLst/>
          </c:spPr>
          <c:invertIfNegative val="0"/>
          <c:cat>
            <c:multiLvlStrRef>
              <c:f>Sheet1!$AD$36:$AD$59</c:f>
              <c:multiLvlStrCache>
                <c:ptCount val="17"/>
                <c:lvl>
                  <c:pt idx="0">
                    <c:v>East</c:v>
                  </c:pt>
                  <c:pt idx="1">
                    <c:v>North</c:v>
                  </c:pt>
                  <c:pt idx="2">
                    <c:v>South</c:v>
                  </c:pt>
                  <c:pt idx="3">
                    <c:v>East</c:v>
                  </c:pt>
                  <c:pt idx="4">
                    <c:v>West</c:v>
                  </c:pt>
                  <c:pt idx="5">
                    <c:v>North</c:v>
                  </c:pt>
                  <c:pt idx="6">
                    <c:v>South</c:v>
                  </c:pt>
                  <c:pt idx="7">
                    <c:v>West</c:v>
                  </c:pt>
                  <c:pt idx="8">
                    <c:v>East</c:v>
                  </c:pt>
                  <c:pt idx="9">
                    <c:v>North</c:v>
                  </c:pt>
                  <c:pt idx="10">
                    <c:v>South</c:v>
                  </c:pt>
                  <c:pt idx="11">
                    <c:v>West</c:v>
                  </c:pt>
                  <c:pt idx="12">
                    <c:v>East</c:v>
                  </c:pt>
                  <c:pt idx="13">
                    <c:v>South</c:v>
                  </c:pt>
                  <c:pt idx="14">
                    <c:v>West</c:v>
                  </c:pt>
                  <c:pt idx="15">
                    <c:v>North</c:v>
                  </c:pt>
                  <c:pt idx="16">
                    <c:v>West</c:v>
                  </c:pt>
                </c:lvl>
                <c:lvl>
                  <c:pt idx="0">
                    <c:v>Chair</c:v>
                  </c:pt>
                  <c:pt idx="3">
                    <c:v>Desk</c:v>
                  </c:pt>
                  <c:pt idx="5">
                    <c:v>Laptop</c:v>
                  </c:pt>
                  <c:pt idx="8">
                    <c:v>Mobile</c:v>
                  </c:pt>
                  <c:pt idx="12">
                    <c:v>Printer</c:v>
                  </c:pt>
                  <c:pt idx="15">
                    <c:v>Table</c:v>
                  </c:pt>
                </c:lvl>
              </c:multiLvlStrCache>
            </c:multiLvlStrRef>
          </c:cat>
          <c:val>
            <c:numRef>
              <c:f>Sheet1!$AE$36:$AE$59</c:f>
              <c:numCache>
                <c:formatCode>General</c:formatCode>
                <c:ptCount val="17"/>
                <c:pt idx="0">
                  <c:v>40000</c:v>
                </c:pt>
                <c:pt idx="1">
                  <c:v>20000</c:v>
                </c:pt>
                <c:pt idx="2">
                  <c:v>30000</c:v>
                </c:pt>
                <c:pt idx="3">
                  <c:v>27000</c:v>
                </c:pt>
                <c:pt idx="4">
                  <c:v>18000</c:v>
                </c:pt>
                <c:pt idx="5">
                  <c:v>225000</c:v>
                </c:pt>
                <c:pt idx="6">
                  <c:v>90000</c:v>
                </c:pt>
                <c:pt idx="7">
                  <c:v>45000</c:v>
                </c:pt>
                <c:pt idx="8">
                  <c:v>80000</c:v>
                </c:pt>
                <c:pt idx="9">
                  <c:v>80000</c:v>
                </c:pt>
                <c:pt idx="10">
                  <c:v>160000</c:v>
                </c:pt>
                <c:pt idx="11">
                  <c:v>100000</c:v>
                </c:pt>
                <c:pt idx="12">
                  <c:v>30000</c:v>
                </c:pt>
                <c:pt idx="13">
                  <c:v>30000</c:v>
                </c:pt>
                <c:pt idx="14">
                  <c:v>45000</c:v>
                </c:pt>
                <c:pt idx="15">
                  <c:v>18000</c:v>
                </c:pt>
                <c:pt idx="16">
                  <c:v>18000</c:v>
                </c:pt>
              </c:numCache>
            </c:numRef>
          </c:val>
          <c:extLst>
            <c:ext xmlns:c16="http://schemas.microsoft.com/office/drawing/2014/chart" uri="{C3380CC4-5D6E-409C-BE32-E72D297353CC}">
              <c16:uniqueId val="{00000000-DB27-44A1-A065-C728638AB299}"/>
            </c:ext>
          </c:extLst>
        </c:ser>
        <c:dLbls>
          <c:showLegendKey val="0"/>
          <c:showVal val="0"/>
          <c:showCatName val="0"/>
          <c:showSerName val="0"/>
          <c:showPercent val="0"/>
          <c:showBubbleSize val="0"/>
        </c:dLbls>
        <c:gapWidth val="219"/>
        <c:overlap val="-27"/>
        <c:axId val="380792255"/>
        <c:axId val="380788415"/>
      </c:barChart>
      <c:catAx>
        <c:axId val="38079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88415"/>
        <c:crosses val="autoZero"/>
        <c:auto val="1"/>
        <c:lblAlgn val="ctr"/>
        <c:lblOffset val="100"/>
        <c:noMultiLvlLbl val="0"/>
      </c:catAx>
      <c:valAx>
        <c:axId val="38078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9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21</xdr:col>
      <xdr:colOff>102576</xdr:colOff>
      <xdr:row>9</xdr:row>
      <xdr:rowOff>29308</xdr:rowOff>
    </xdr:from>
    <xdr:to>
      <xdr:col>27</xdr:col>
      <xdr:colOff>549518</xdr:colOff>
      <xdr:row>16</xdr:row>
      <xdr:rowOff>105508</xdr:rowOff>
    </xdr:to>
    <xdr:graphicFrame macro="">
      <xdr:nvGraphicFramePr>
        <xdr:cNvPr id="3" name="Chart 2">
          <a:extLst>
            <a:ext uri="{FF2B5EF4-FFF2-40B4-BE49-F238E27FC236}">
              <a16:creationId xmlns:a16="http://schemas.microsoft.com/office/drawing/2014/main" id="{F19D0F7A-2815-43CA-8F40-07907A0C7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32238</xdr:colOff>
      <xdr:row>3</xdr:row>
      <xdr:rowOff>52755</xdr:rowOff>
    </xdr:from>
    <xdr:to>
      <xdr:col>26</xdr:col>
      <xdr:colOff>417634</xdr:colOff>
      <xdr:row>8</xdr:row>
      <xdr:rowOff>293077</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A6B1E267-1789-F589-4A39-1A3A0863D7C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4826546" y="822082"/>
              <a:ext cx="1828800" cy="2145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430089</xdr:colOff>
      <xdr:row>8</xdr:row>
      <xdr:rowOff>132618</xdr:rowOff>
    </xdr:from>
    <xdr:to>
      <xdr:col>34</xdr:col>
      <xdr:colOff>162657</xdr:colOff>
      <xdr:row>15</xdr:row>
      <xdr:rowOff>208818</xdr:rowOff>
    </xdr:to>
    <xdr:graphicFrame macro="">
      <xdr:nvGraphicFramePr>
        <xdr:cNvPr id="6" name="Chart 5">
          <a:extLst>
            <a:ext uri="{FF2B5EF4-FFF2-40B4-BE49-F238E27FC236}">
              <a16:creationId xmlns:a16="http://schemas.microsoft.com/office/drawing/2014/main" id="{447194C4-CEE2-0B58-E977-E01E27BB5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31</xdr:col>
      <xdr:colOff>115764</xdr:colOff>
      <xdr:row>2</xdr:row>
      <xdr:rowOff>353157</xdr:rowOff>
    </xdr:from>
    <xdr:to>
      <xdr:col>33</xdr:col>
      <xdr:colOff>434899</xdr:colOff>
      <xdr:row>6</xdr:row>
      <xdr:rowOff>366346</xdr:rowOff>
    </xdr:to>
    <mc:AlternateContent xmlns:mc="http://schemas.openxmlformats.org/markup-compatibility/2006" xmlns:a14="http://schemas.microsoft.com/office/drawing/2010/main">
      <mc:Choice Requires="a14">
        <xdr:graphicFrame macro="">
          <xdr:nvGraphicFramePr>
            <xdr:cNvPr id="7" name="Salesperson">
              <a:extLst>
                <a:ext uri="{FF2B5EF4-FFF2-40B4-BE49-F238E27FC236}">
                  <a16:creationId xmlns:a16="http://schemas.microsoft.com/office/drawing/2014/main" id="{5F084A66-3DBC-15D8-9BCD-A8C3D3CEE80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9855745" y="741484"/>
              <a:ext cx="1828800" cy="1537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76200</xdr:colOff>
      <xdr:row>17</xdr:row>
      <xdr:rowOff>233362</xdr:rowOff>
    </xdr:from>
    <xdr:to>
      <xdr:col>30</xdr:col>
      <xdr:colOff>723900</xdr:colOff>
      <xdr:row>26</xdr:row>
      <xdr:rowOff>100012</xdr:rowOff>
    </xdr:to>
    <xdr:graphicFrame macro="">
      <xdr:nvGraphicFramePr>
        <xdr:cNvPr id="2" name="Chart 1">
          <a:extLst>
            <a:ext uri="{FF2B5EF4-FFF2-40B4-BE49-F238E27FC236}">
              <a16:creationId xmlns:a16="http://schemas.microsoft.com/office/drawing/2014/main" id="{CDE18A02-4B27-C4DF-8149-CFAA0F310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30</xdr:col>
      <xdr:colOff>923925</xdr:colOff>
      <xdr:row>18</xdr:row>
      <xdr:rowOff>38100</xdr:rowOff>
    </xdr:from>
    <xdr:to>
      <xdr:col>33</xdr:col>
      <xdr:colOff>307700</xdr:colOff>
      <xdr:row>26</xdr:row>
      <xdr:rowOff>66675</xdr:rowOff>
    </xdr:to>
    <mc:AlternateContent xmlns:mc="http://schemas.openxmlformats.org/markup-compatibility/2006" xmlns:a14="http://schemas.microsoft.com/office/drawing/2010/main">
      <mc:Choice Requires="a14">
        <xdr:graphicFrame macro="">
          <xdr:nvGraphicFramePr>
            <xdr:cNvPr id="4" name="OrderID">
              <a:extLst>
                <a:ext uri="{FF2B5EF4-FFF2-40B4-BE49-F238E27FC236}">
                  <a16:creationId xmlns:a16="http://schemas.microsoft.com/office/drawing/2014/main" id="{21E8A156-6126-4634-3610-14225CDE5684}"/>
                </a:ext>
              </a:extLst>
            </xdr:cNvPr>
            <xdr:cNvGraphicFramePr/>
          </xdr:nvGraphicFramePr>
          <xdr:xfrm>
            <a:off x="0" y="0"/>
            <a:ext cx="0" cy="0"/>
          </xdr:xfrm>
          <a:graphic>
            <a:graphicData uri="http://schemas.microsoft.com/office/drawing/2010/slicer">
              <sle:slicer xmlns:sle="http://schemas.microsoft.com/office/drawing/2010/slicer" name="OrderID"/>
            </a:graphicData>
          </a:graphic>
        </xdr:graphicFrame>
      </mc:Choice>
      <mc:Fallback xmlns="">
        <xdr:sp macro="" textlink="">
          <xdr:nvSpPr>
            <xdr:cNvPr id="0" name=""/>
            <xdr:cNvSpPr>
              <a:spLocks noTextEdit="1"/>
            </xdr:cNvSpPr>
          </xdr:nvSpPr>
          <xdr:spPr>
            <a:xfrm>
              <a:off x="29921338" y="6523383"/>
              <a:ext cx="1833770" cy="252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82825</xdr:colOff>
      <xdr:row>41</xdr:row>
      <xdr:rowOff>152399</xdr:rowOff>
    </xdr:from>
    <xdr:to>
      <xdr:col>26</xdr:col>
      <xdr:colOff>289891</xdr:colOff>
      <xdr:row>56</xdr:row>
      <xdr:rowOff>4969</xdr:rowOff>
    </xdr:to>
    <xdr:graphicFrame macro="">
      <xdr:nvGraphicFramePr>
        <xdr:cNvPr id="8" name="Chart 7">
          <a:extLst>
            <a:ext uri="{FF2B5EF4-FFF2-40B4-BE49-F238E27FC236}">
              <a16:creationId xmlns:a16="http://schemas.microsoft.com/office/drawing/2014/main" id="{BB6BAAB8-B377-97BA-A0D4-4E25EA0CB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503996</xdr:colOff>
      <xdr:row>32</xdr:row>
      <xdr:rowOff>19879</xdr:rowOff>
    </xdr:from>
    <xdr:to>
      <xdr:col>24</xdr:col>
      <xdr:colOff>485774</xdr:colOff>
      <xdr:row>40</xdr:row>
      <xdr:rowOff>24848</xdr:rowOff>
    </xdr:to>
    <mc:AlternateContent xmlns:mc="http://schemas.openxmlformats.org/markup-compatibility/2006" xmlns:a14="http://schemas.microsoft.com/office/drawing/2010/main">
      <mc:Choice Requires="a14">
        <xdr:graphicFrame macro="">
          <xdr:nvGraphicFramePr>
            <xdr:cNvPr id="9" name="Salesperson 1">
              <a:extLst>
                <a:ext uri="{FF2B5EF4-FFF2-40B4-BE49-F238E27FC236}">
                  <a16:creationId xmlns:a16="http://schemas.microsoft.com/office/drawing/2014/main" id="{FF7556EF-4A7D-B26A-07FE-641C50A94E9A}"/>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24109431" y="10157792"/>
              <a:ext cx="1828800" cy="1537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298173</xdr:colOff>
      <xdr:row>34</xdr:row>
      <xdr:rowOff>3313</xdr:rowOff>
    </xdr:from>
    <xdr:to>
      <xdr:col>38</xdr:col>
      <xdr:colOff>579782</xdr:colOff>
      <xdr:row>48</xdr:row>
      <xdr:rowOff>54665</xdr:rowOff>
    </xdr:to>
    <xdr:graphicFrame macro="">
      <xdr:nvGraphicFramePr>
        <xdr:cNvPr id="10" name="Chart 9">
          <a:extLst>
            <a:ext uri="{FF2B5EF4-FFF2-40B4-BE49-F238E27FC236}">
              <a16:creationId xmlns:a16="http://schemas.microsoft.com/office/drawing/2014/main" id="{5D50B94D-7270-7347-5CDC-6BD9404A4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31</xdr:col>
      <xdr:colOff>417858</xdr:colOff>
      <xdr:row>49</xdr:row>
      <xdr:rowOff>160682</xdr:rowOff>
    </xdr:from>
    <xdr:to>
      <xdr:col>33</xdr:col>
      <xdr:colOff>722658</xdr:colOff>
      <xdr:row>62</xdr:row>
      <xdr:rowOff>175177</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047C7F2D-F4BE-57AA-1F7F-D8EFD87703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467162" y="1356194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22876620373" createdVersion="8" refreshedVersion="8" minRefreshableVersion="3" recordCount="20" xr:uid="{614F179B-FBB3-4B98-BD4D-E476BC5ED053}">
  <cacheSource type="worksheet">
    <worksheetSource ref="N3:T23" sheet="Sheet1"/>
  </cacheSource>
  <cacheFields count="7">
    <cacheField name="OrderID" numFmtId="0">
      <sharedItems containsSemiMixedTypes="0" containsString="0" containsNumber="1" containsInteger="1" minValue="1001" maxValue="1020"/>
    </cacheField>
    <cacheField name="Region" numFmtId="0">
      <sharedItems count="4">
        <s v="North"/>
        <s v="South"/>
        <s v="East"/>
        <s v="West"/>
      </sharedItems>
    </cacheField>
    <cacheField name="Salesperson" numFmtId="0">
      <sharedItems count="4">
        <s v="Ravi"/>
        <s v="Priya"/>
        <s v="Arjun"/>
        <s v="Sneha"/>
      </sharedItems>
    </cacheField>
    <cacheField name="Product" numFmtId="0">
      <sharedItems count="6">
        <s v="Laptop"/>
        <s v="Mobile"/>
        <s v="Chair"/>
        <s v="Table"/>
        <s v="Printer"/>
        <s v="Desk"/>
      </sharedItems>
    </cacheField>
    <cacheField name="Category" numFmtId="0">
      <sharedItems/>
    </cacheField>
    <cacheField name="Quantity" numFmtId="0">
      <sharedItems containsSemiMixedTypes="0" containsString="0" containsNumber="1" containsInteger="1" minValue="1" maxValue="6" count="6">
        <n v="2"/>
        <n v="3"/>
        <n v="5"/>
        <n v="4"/>
        <n v="1"/>
        <n v="6"/>
      </sharedItems>
    </cacheField>
    <cacheField name="Sales" numFmtId="0">
      <sharedItems containsSemiMixedTypes="0" containsString="0" containsNumber="1" containsInteger="1" minValue="15000" maxValue="135000"/>
    </cacheField>
  </cacheFields>
  <extLst>
    <ext xmlns:x14="http://schemas.microsoft.com/office/spreadsheetml/2009/9/main" uri="{725AE2AE-9491-48be-B2B4-4EB974FC3084}">
      <x14:pivotCacheDefinition pivotCacheId="9715952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31690509262" createdVersion="8" refreshedVersion="8" minRefreshableVersion="3" recordCount="20" xr:uid="{DD2831EE-3D40-40EE-ABEE-C01FE00FE997}">
  <cacheSource type="worksheet">
    <worksheetSource ref="N3:T23" sheet="Sheet1"/>
  </cacheSource>
  <cacheFields count="7">
    <cacheField name="OrderID" numFmtId="0">
      <sharedItems containsSemiMixedTypes="0" containsString="0" containsNumber="1" containsInteger="1" minValue="1001" maxValue="1020"/>
    </cacheField>
    <cacheField name="Region" numFmtId="0">
      <sharedItems/>
    </cacheField>
    <cacheField name="Salesperson" numFmtId="0">
      <sharedItems count="4">
        <s v="Ravi"/>
        <s v="Priya"/>
        <s v="Arjun"/>
        <s v="Sneha"/>
      </sharedItems>
    </cacheField>
    <cacheField name="Product" numFmtId="0">
      <sharedItems count="6">
        <s v="Laptop"/>
        <s v="Mobile"/>
        <s v="Chair"/>
        <s v="Table"/>
        <s v="Printer"/>
        <s v="Desk"/>
      </sharedItems>
    </cacheField>
    <cacheField name="Category" numFmtId="0">
      <sharedItems count="2">
        <s v="Electronics"/>
        <s v="Furniture"/>
      </sharedItems>
    </cacheField>
    <cacheField name="Quantity" numFmtId="0">
      <sharedItems containsSemiMixedTypes="0" containsString="0" containsNumber="1" containsInteger="1" minValue="1" maxValue="6"/>
    </cacheField>
    <cacheField name="Sales" numFmtId="0">
      <sharedItems containsSemiMixedTypes="0" containsString="0" containsNumber="1" containsInteger="1" minValue="15000" maxValue="135000"/>
    </cacheField>
  </cacheFields>
  <extLst>
    <ext xmlns:x14="http://schemas.microsoft.com/office/spreadsheetml/2009/9/main" uri="{725AE2AE-9491-48be-B2B4-4EB974FC3084}">
      <x14:pivotCacheDefinition pivotCacheId="204325100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07147685187" createdVersion="8" refreshedVersion="8" minRefreshableVersion="3" recordCount="20" xr:uid="{1465F365-99F8-4099-8D32-B695E7CA6FC0}">
  <cacheSource type="worksheet">
    <worksheetSource ref="N3:T23" sheet="Sheet1"/>
  </cacheSource>
  <cacheFields count="7">
    <cacheField name="OrderID" numFmtId="0">
      <sharedItems containsSemiMixedTypes="0" containsString="0" containsNumber="1" containsInteger="1" minValue="1001" maxValue="1020" count="20">
        <n v="1001"/>
        <n v="1002"/>
        <n v="1003"/>
        <n v="1004"/>
        <n v="1005"/>
        <n v="1006"/>
        <n v="1007"/>
        <n v="1008"/>
        <n v="1009"/>
        <n v="1010"/>
        <n v="1011"/>
        <n v="1012"/>
        <n v="1013"/>
        <n v="1014"/>
        <n v="1015"/>
        <n v="1016"/>
        <n v="1017"/>
        <n v="1018"/>
        <n v="1019"/>
        <n v="1020"/>
      </sharedItems>
    </cacheField>
    <cacheField name="Region" numFmtId="0">
      <sharedItems count="4">
        <s v="North"/>
        <s v="South"/>
        <s v="East"/>
        <s v="West"/>
      </sharedItems>
    </cacheField>
    <cacheField name="Salesperson" numFmtId="0">
      <sharedItems/>
    </cacheField>
    <cacheField name="Product" numFmtId="0">
      <sharedItems/>
    </cacheField>
    <cacheField name="Category" numFmtId="0">
      <sharedItems/>
    </cacheField>
    <cacheField name="Quantity" numFmtId="0">
      <sharedItems containsSemiMixedTypes="0" containsString="0" containsNumber="1" containsInteger="1" minValue="1" maxValue="6"/>
    </cacheField>
    <cacheField name="Sales" numFmtId="0">
      <sharedItems containsSemiMixedTypes="0" containsString="0" containsNumber="1" containsInteger="1" minValue="15000" maxValue="135000"/>
    </cacheField>
  </cacheFields>
  <extLst>
    <ext xmlns:x14="http://schemas.microsoft.com/office/spreadsheetml/2009/9/main" uri="{725AE2AE-9491-48be-B2B4-4EB974FC3084}">
      <x14:pivotCacheDefinition pivotCacheId="1667939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x v="0"/>
    <x v="0"/>
    <x v="0"/>
    <s v="Electronics"/>
    <x v="0"/>
    <n v="90000"/>
  </r>
  <r>
    <n v="1002"/>
    <x v="1"/>
    <x v="1"/>
    <x v="1"/>
    <s v="Electronics"/>
    <x v="1"/>
    <n v="60000"/>
  </r>
  <r>
    <n v="1003"/>
    <x v="2"/>
    <x v="2"/>
    <x v="2"/>
    <s v="Furniture"/>
    <x v="2"/>
    <n v="25000"/>
  </r>
  <r>
    <n v="1004"/>
    <x v="3"/>
    <x v="3"/>
    <x v="3"/>
    <s v="Furniture"/>
    <x v="0"/>
    <n v="18000"/>
  </r>
  <r>
    <n v="1005"/>
    <x v="0"/>
    <x v="0"/>
    <x v="1"/>
    <s v="Electronics"/>
    <x v="3"/>
    <n v="80000"/>
  </r>
  <r>
    <n v="1006"/>
    <x v="1"/>
    <x v="1"/>
    <x v="4"/>
    <s v="Electronics"/>
    <x v="0"/>
    <n v="30000"/>
  </r>
  <r>
    <n v="1007"/>
    <x v="2"/>
    <x v="2"/>
    <x v="5"/>
    <s v="Furniture"/>
    <x v="1"/>
    <n v="27000"/>
  </r>
  <r>
    <n v="1008"/>
    <x v="3"/>
    <x v="3"/>
    <x v="0"/>
    <s v="Electronics"/>
    <x v="4"/>
    <n v="45000"/>
  </r>
  <r>
    <n v="1009"/>
    <x v="0"/>
    <x v="0"/>
    <x v="2"/>
    <s v="Furniture"/>
    <x v="3"/>
    <n v="20000"/>
  </r>
  <r>
    <n v="1010"/>
    <x v="1"/>
    <x v="1"/>
    <x v="1"/>
    <s v="Electronics"/>
    <x v="2"/>
    <n v="100000"/>
  </r>
  <r>
    <n v="1011"/>
    <x v="2"/>
    <x v="2"/>
    <x v="4"/>
    <s v="Electronics"/>
    <x v="0"/>
    <n v="30000"/>
  </r>
  <r>
    <n v="1012"/>
    <x v="3"/>
    <x v="3"/>
    <x v="5"/>
    <s v="Furniture"/>
    <x v="0"/>
    <n v="18000"/>
  </r>
  <r>
    <n v="1013"/>
    <x v="0"/>
    <x v="0"/>
    <x v="0"/>
    <s v="Electronics"/>
    <x v="1"/>
    <n v="135000"/>
  </r>
  <r>
    <n v="1014"/>
    <x v="1"/>
    <x v="1"/>
    <x v="2"/>
    <s v="Furniture"/>
    <x v="5"/>
    <n v="30000"/>
  </r>
  <r>
    <n v="1015"/>
    <x v="2"/>
    <x v="2"/>
    <x v="1"/>
    <s v="Electronics"/>
    <x v="3"/>
    <n v="80000"/>
  </r>
  <r>
    <n v="1016"/>
    <x v="3"/>
    <x v="3"/>
    <x v="4"/>
    <s v="Electronics"/>
    <x v="1"/>
    <n v="45000"/>
  </r>
  <r>
    <n v="1017"/>
    <x v="0"/>
    <x v="0"/>
    <x v="3"/>
    <s v="Furniture"/>
    <x v="0"/>
    <n v="18000"/>
  </r>
  <r>
    <n v="1018"/>
    <x v="1"/>
    <x v="1"/>
    <x v="0"/>
    <s v="Electronics"/>
    <x v="0"/>
    <n v="90000"/>
  </r>
  <r>
    <n v="1019"/>
    <x v="2"/>
    <x v="2"/>
    <x v="2"/>
    <s v="Furniture"/>
    <x v="1"/>
    <n v="15000"/>
  </r>
  <r>
    <n v="1020"/>
    <x v="3"/>
    <x v="3"/>
    <x v="1"/>
    <s v="Electronics"/>
    <x v="2"/>
    <n v="1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s v="North"/>
    <x v="0"/>
    <x v="0"/>
    <x v="0"/>
    <n v="2"/>
    <n v="90000"/>
  </r>
  <r>
    <n v="1002"/>
    <s v="South"/>
    <x v="1"/>
    <x v="1"/>
    <x v="0"/>
    <n v="3"/>
    <n v="60000"/>
  </r>
  <r>
    <n v="1003"/>
    <s v="East"/>
    <x v="2"/>
    <x v="2"/>
    <x v="1"/>
    <n v="5"/>
    <n v="25000"/>
  </r>
  <r>
    <n v="1004"/>
    <s v="West"/>
    <x v="3"/>
    <x v="3"/>
    <x v="1"/>
    <n v="2"/>
    <n v="18000"/>
  </r>
  <r>
    <n v="1005"/>
    <s v="North"/>
    <x v="0"/>
    <x v="1"/>
    <x v="0"/>
    <n v="4"/>
    <n v="80000"/>
  </r>
  <r>
    <n v="1006"/>
    <s v="South"/>
    <x v="1"/>
    <x v="4"/>
    <x v="0"/>
    <n v="2"/>
    <n v="30000"/>
  </r>
  <r>
    <n v="1007"/>
    <s v="East"/>
    <x v="2"/>
    <x v="5"/>
    <x v="1"/>
    <n v="3"/>
    <n v="27000"/>
  </r>
  <r>
    <n v="1008"/>
    <s v="West"/>
    <x v="3"/>
    <x v="0"/>
    <x v="0"/>
    <n v="1"/>
    <n v="45000"/>
  </r>
  <r>
    <n v="1009"/>
    <s v="North"/>
    <x v="0"/>
    <x v="2"/>
    <x v="1"/>
    <n v="4"/>
    <n v="20000"/>
  </r>
  <r>
    <n v="1010"/>
    <s v="South"/>
    <x v="1"/>
    <x v="1"/>
    <x v="0"/>
    <n v="5"/>
    <n v="100000"/>
  </r>
  <r>
    <n v="1011"/>
    <s v="East"/>
    <x v="2"/>
    <x v="4"/>
    <x v="0"/>
    <n v="2"/>
    <n v="30000"/>
  </r>
  <r>
    <n v="1012"/>
    <s v="West"/>
    <x v="3"/>
    <x v="5"/>
    <x v="1"/>
    <n v="2"/>
    <n v="18000"/>
  </r>
  <r>
    <n v="1013"/>
    <s v="North"/>
    <x v="0"/>
    <x v="0"/>
    <x v="0"/>
    <n v="3"/>
    <n v="135000"/>
  </r>
  <r>
    <n v="1014"/>
    <s v="South"/>
    <x v="1"/>
    <x v="2"/>
    <x v="1"/>
    <n v="6"/>
    <n v="30000"/>
  </r>
  <r>
    <n v="1015"/>
    <s v="East"/>
    <x v="2"/>
    <x v="1"/>
    <x v="0"/>
    <n v="4"/>
    <n v="80000"/>
  </r>
  <r>
    <n v="1016"/>
    <s v="West"/>
    <x v="3"/>
    <x v="4"/>
    <x v="0"/>
    <n v="3"/>
    <n v="45000"/>
  </r>
  <r>
    <n v="1017"/>
    <s v="North"/>
    <x v="0"/>
    <x v="3"/>
    <x v="1"/>
    <n v="2"/>
    <n v="18000"/>
  </r>
  <r>
    <n v="1018"/>
    <s v="South"/>
    <x v="1"/>
    <x v="0"/>
    <x v="0"/>
    <n v="2"/>
    <n v="90000"/>
  </r>
  <r>
    <n v="1019"/>
    <s v="East"/>
    <x v="2"/>
    <x v="2"/>
    <x v="1"/>
    <n v="3"/>
    <n v="15000"/>
  </r>
  <r>
    <n v="1020"/>
    <s v="West"/>
    <x v="3"/>
    <x v="1"/>
    <x v="0"/>
    <n v="5"/>
    <n v="1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Ravi"/>
    <s v="Laptop"/>
    <s v="Electronics"/>
    <n v="2"/>
    <n v="90000"/>
  </r>
  <r>
    <x v="1"/>
    <x v="1"/>
    <s v="Priya"/>
    <s v="Mobile"/>
    <s v="Electronics"/>
    <n v="3"/>
    <n v="60000"/>
  </r>
  <r>
    <x v="2"/>
    <x v="2"/>
    <s v="Arjun"/>
    <s v="Chair"/>
    <s v="Furniture"/>
    <n v="5"/>
    <n v="25000"/>
  </r>
  <r>
    <x v="3"/>
    <x v="3"/>
    <s v="Sneha"/>
    <s v="Table"/>
    <s v="Furniture"/>
    <n v="2"/>
    <n v="18000"/>
  </r>
  <r>
    <x v="4"/>
    <x v="0"/>
    <s v="Ravi"/>
    <s v="Mobile"/>
    <s v="Electronics"/>
    <n v="4"/>
    <n v="80000"/>
  </r>
  <r>
    <x v="5"/>
    <x v="1"/>
    <s v="Priya"/>
    <s v="Printer"/>
    <s v="Electronics"/>
    <n v="2"/>
    <n v="30000"/>
  </r>
  <r>
    <x v="6"/>
    <x v="2"/>
    <s v="Arjun"/>
    <s v="Desk"/>
    <s v="Furniture"/>
    <n v="3"/>
    <n v="27000"/>
  </r>
  <r>
    <x v="7"/>
    <x v="3"/>
    <s v="Sneha"/>
    <s v="Laptop"/>
    <s v="Electronics"/>
    <n v="1"/>
    <n v="45000"/>
  </r>
  <r>
    <x v="8"/>
    <x v="0"/>
    <s v="Ravi"/>
    <s v="Chair"/>
    <s v="Furniture"/>
    <n v="4"/>
    <n v="20000"/>
  </r>
  <r>
    <x v="9"/>
    <x v="1"/>
    <s v="Priya"/>
    <s v="Mobile"/>
    <s v="Electronics"/>
    <n v="5"/>
    <n v="100000"/>
  </r>
  <r>
    <x v="10"/>
    <x v="2"/>
    <s v="Arjun"/>
    <s v="Printer"/>
    <s v="Electronics"/>
    <n v="2"/>
    <n v="30000"/>
  </r>
  <r>
    <x v="11"/>
    <x v="3"/>
    <s v="Sneha"/>
    <s v="Desk"/>
    <s v="Furniture"/>
    <n v="2"/>
    <n v="18000"/>
  </r>
  <r>
    <x v="12"/>
    <x v="0"/>
    <s v="Ravi"/>
    <s v="Laptop"/>
    <s v="Electronics"/>
    <n v="3"/>
    <n v="135000"/>
  </r>
  <r>
    <x v="13"/>
    <x v="1"/>
    <s v="Priya"/>
    <s v="Chair"/>
    <s v="Furniture"/>
    <n v="6"/>
    <n v="30000"/>
  </r>
  <r>
    <x v="14"/>
    <x v="2"/>
    <s v="Arjun"/>
    <s v="Mobile"/>
    <s v="Electronics"/>
    <n v="4"/>
    <n v="80000"/>
  </r>
  <r>
    <x v="15"/>
    <x v="3"/>
    <s v="Sneha"/>
    <s v="Printer"/>
    <s v="Electronics"/>
    <n v="3"/>
    <n v="45000"/>
  </r>
  <r>
    <x v="16"/>
    <x v="0"/>
    <s v="Ravi"/>
    <s v="Table"/>
    <s v="Furniture"/>
    <n v="2"/>
    <n v="18000"/>
  </r>
  <r>
    <x v="17"/>
    <x v="1"/>
    <s v="Priya"/>
    <s v="Laptop"/>
    <s v="Electronics"/>
    <n v="2"/>
    <n v="90000"/>
  </r>
  <r>
    <x v="18"/>
    <x v="2"/>
    <s v="Arjun"/>
    <s v="Chair"/>
    <s v="Furniture"/>
    <n v="3"/>
    <n v="15000"/>
  </r>
  <r>
    <x v="19"/>
    <x v="3"/>
    <s v="Sneha"/>
    <s v="Mobile"/>
    <s v="Electronics"/>
    <n v="5"/>
    <n v="1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13B474-B77B-4BE7-8049-E9E833DFFD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D35:AE59" firstHeaderRow="1" firstDataRow="1" firstDataCol="1"/>
  <pivotFields count="7">
    <pivotField showAll="0"/>
    <pivotField axis="axisRow" showAll="0">
      <items count="5">
        <item x="2"/>
        <item x="0"/>
        <item x="1"/>
        <item x="3"/>
        <item t="default"/>
      </items>
    </pivotField>
    <pivotField showAll="0">
      <items count="5">
        <item x="2"/>
        <item x="1"/>
        <item x="0"/>
        <item x="3"/>
        <item t="default"/>
      </items>
    </pivotField>
    <pivotField axis="axisRow" showAll="0">
      <items count="7">
        <item x="2"/>
        <item x="5"/>
        <item x="0"/>
        <item x="1"/>
        <item x="4"/>
        <item x="3"/>
        <item t="default"/>
      </items>
    </pivotField>
    <pivotField showAll="0"/>
    <pivotField showAll="0">
      <items count="7">
        <item h="1" x="4"/>
        <item x="0"/>
        <item h="1" x="1"/>
        <item h="1" x="3"/>
        <item h="1" x="2"/>
        <item h="1" x="5"/>
        <item t="default"/>
      </items>
    </pivotField>
    <pivotField dataField="1" showAll="0"/>
  </pivotFields>
  <rowFields count="2">
    <field x="3"/>
    <field x="1"/>
  </rowFields>
  <rowItems count="24">
    <i>
      <x/>
    </i>
    <i r="1">
      <x/>
    </i>
    <i r="1">
      <x v="1"/>
    </i>
    <i r="1">
      <x v="2"/>
    </i>
    <i>
      <x v="1"/>
    </i>
    <i r="1">
      <x/>
    </i>
    <i r="1">
      <x v="3"/>
    </i>
    <i>
      <x v="2"/>
    </i>
    <i r="1">
      <x v="1"/>
    </i>
    <i r="1">
      <x v="2"/>
    </i>
    <i r="1">
      <x v="3"/>
    </i>
    <i>
      <x v="3"/>
    </i>
    <i r="1">
      <x/>
    </i>
    <i r="1">
      <x v="1"/>
    </i>
    <i r="1">
      <x v="2"/>
    </i>
    <i r="1">
      <x v="3"/>
    </i>
    <i>
      <x v="4"/>
    </i>
    <i r="1">
      <x/>
    </i>
    <i r="1">
      <x v="2"/>
    </i>
    <i r="1">
      <x v="3"/>
    </i>
    <i>
      <x v="5"/>
    </i>
    <i r="1">
      <x v="1"/>
    </i>
    <i r="1">
      <x v="3"/>
    </i>
    <i t="grand">
      <x/>
    </i>
  </rowItems>
  <colItems count="1">
    <i/>
  </colItems>
  <dataFields count="1">
    <dataField name="Sum of Sales" fld="6" baseField="0" baseItem="0"/>
  </dataFields>
  <formats count="10">
    <format dxfId="9">
      <pivotArea type="all" dataOnly="0" outline="0" fieldPosition="0"/>
    </format>
    <format dxfId="8">
      <pivotArea outline="0" collapsedLevelsAreSubtotals="1" fieldPosition="0"/>
    </format>
    <format dxfId="7">
      <pivotArea field="1" type="button" dataOnly="0" labelOnly="1" outline="0" axis="axisRow" fieldPosition="1"/>
    </format>
    <format dxfId="6">
      <pivotArea dataOnly="0" labelOnly="1" grandRow="1" outline="0"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1" type="button" dataOnly="0" labelOnly="1" outline="0" axis="axisRow" fieldPosition="1"/>
    </format>
    <format dxfId="1">
      <pivotArea dataOnly="0" labelOnly="1" grandRow="1" outline="0" fieldPosition="0"/>
    </format>
    <format dxfId="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6E4928-F171-426F-B34F-A387322F75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U35:V40" firstHeaderRow="1" firstDataRow="1" firstDataCol="1"/>
  <pivotFields count="7">
    <pivotField showAll="0"/>
    <pivotField axis="axisRow" showAll="0">
      <items count="5">
        <item x="2"/>
        <item x="0"/>
        <item x="1"/>
        <item x="3"/>
        <item t="default"/>
      </items>
    </pivotField>
    <pivotField showAll="0">
      <items count="5">
        <item x="2"/>
        <item x="1"/>
        <item x="0"/>
        <item x="3"/>
        <item t="default"/>
      </items>
    </pivotField>
    <pivotField showAll="0">
      <items count="7">
        <item x="2"/>
        <item x="5"/>
        <item x="0"/>
        <item x="1"/>
        <item x="4"/>
        <item x="3"/>
        <item t="default"/>
      </items>
    </pivotField>
    <pivotField showAll="0"/>
    <pivotField showAll="0">
      <items count="7">
        <item h="1" x="4"/>
        <item x="0"/>
        <item h="1" x="1"/>
        <item h="1" x="3"/>
        <item h="1" x="2"/>
        <item h="1" x="5"/>
        <item t="default"/>
      </items>
    </pivotField>
    <pivotField dataField="1" showAll="0"/>
  </pivotFields>
  <rowFields count="1">
    <field x="1"/>
  </rowFields>
  <rowItems count="5">
    <i>
      <x/>
    </i>
    <i>
      <x v="1"/>
    </i>
    <i>
      <x v="2"/>
    </i>
    <i>
      <x v="3"/>
    </i>
    <i t="grand">
      <x/>
    </i>
  </rowItems>
  <colItems count="1">
    <i/>
  </colItems>
  <dataFields count="1">
    <dataField name="Sum of Sales" fld="6" baseField="0" baseItem="0"/>
  </dataFields>
  <formats count="12">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3">
            <x v="1"/>
            <x v="2"/>
            <x v="3"/>
          </reference>
        </references>
      </pivotArea>
    </format>
    <format dxfId="17">
      <pivotArea dataOnly="0" labelOnly="1" grandRow="1" outline="0"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field="1" type="button" dataOnly="0" labelOnly="1" outline="0" axis="axisRow" fieldPosition="0"/>
    </format>
    <format dxfId="12">
      <pivotArea dataOnly="0" labelOnly="1" fieldPosition="0">
        <references count="1">
          <reference field="1" count="0"/>
        </references>
      </pivotArea>
    </format>
    <format dxfId="11">
      <pivotArea dataOnly="0" labelOnly="1" grandRow="1" outline="0" fieldPosition="0"/>
    </format>
    <format dxfId="1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77D5B8-22BE-4C6F-A327-7BF97CAC8915}"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W19:X24" firstHeaderRow="1" firstDataRow="1" firstDataCol="1"/>
  <pivotFields count="7">
    <pivotField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0"/>
        <item x="1"/>
        <item x="3"/>
        <item t="default"/>
      </items>
    </pivotField>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Sum of Quantity" fld="5" baseField="0" baseItem="0"/>
  </dataFields>
  <formats count="6">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grandRow="1" outline="0" fieldPosition="0"/>
    </format>
    <format dxfId="2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0AC835-7F67-44D9-A1BE-08A802414B4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4:AE7" firstHeaderRow="1" firstDataRow="1" firstDataCol="1"/>
  <pivotFields count="7">
    <pivotField showAll="0"/>
    <pivotField showAll="0"/>
    <pivotField showAll="0">
      <items count="5">
        <item x="2"/>
        <item x="1"/>
        <item x="0"/>
        <item x="3"/>
        <item t="default"/>
      </items>
    </pivotField>
    <pivotField axis="axisRow" showAll="0">
      <items count="7">
        <item x="2"/>
        <item x="5"/>
        <item x="0"/>
        <item x="1"/>
        <item x="4"/>
        <item x="3"/>
        <item t="default"/>
      </items>
    </pivotField>
    <pivotField axis="axisRow" showAll="0">
      <items count="3">
        <item sd="0" x="0"/>
        <item sd="0" x="1"/>
        <item t="default" sd="0"/>
      </items>
    </pivotField>
    <pivotField dataField="1" showAll="0"/>
    <pivotField showAll="0"/>
  </pivotFields>
  <rowFields count="2">
    <field x="4"/>
    <field x="3"/>
  </rowFields>
  <rowItems count="3">
    <i>
      <x/>
    </i>
    <i>
      <x v="1"/>
    </i>
    <i t="grand">
      <x/>
    </i>
  </rowItems>
  <colItems count="1">
    <i/>
  </colItems>
  <dataFields count="1">
    <dataField name="Sum of Quantity" fld="5" baseField="0" baseItem="0"/>
  </dataFields>
  <formats count="6">
    <format dxfId="33">
      <pivotArea type="all" dataOnly="0" outline="0" fieldPosition="0"/>
    </format>
    <format dxfId="32">
      <pivotArea outline="0" collapsedLevelsAreSubtotals="1" fieldPosition="0"/>
    </format>
    <format dxfId="31">
      <pivotArea field="4" type="button" dataOnly="0" labelOnly="1" outline="0" axis="axisRow" fieldPosition="0"/>
    </format>
    <format dxfId="30">
      <pivotArea dataOnly="0" labelOnly="1" fieldPosition="0">
        <references count="1">
          <reference field="4" count="0"/>
        </references>
      </pivotArea>
    </format>
    <format dxfId="29">
      <pivotArea dataOnly="0" labelOnly="1" grandRow="1" outline="0" fieldPosition="0"/>
    </format>
    <format dxfId="2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2AB074-999B-4F05-A2A9-99A34F2B9EB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W4:X9" firstHeaderRow="1" firstDataRow="1" firstDataCol="1"/>
  <pivotFields count="7">
    <pivotField showAll="0"/>
    <pivotField axis="axisRow" showAll="0">
      <items count="5">
        <item x="2"/>
        <item x="0"/>
        <item x="1"/>
        <item x="3"/>
        <item t="default"/>
      </items>
    </pivotField>
    <pivotField showAll="0"/>
    <pivotField showAll="0">
      <items count="7">
        <item x="2"/>
        <item x="5"/>
        <item x="0"/>
        <item x="1"/>
        <item x="4"/>
        <item x="3"/>
        <item t="default"/>
      </items>
    </pivotField>
    <pivotField showAll="0"/>
    <pivotField showAll="0">
      <items count="7">
        <item h="1" x="4"/>
        <item x="0"/>
        <item h="1" x="1"/>
        <item h="1" x="3"/>
        <item h="1" x="2"/>
        <item h="1" x="5"/>
        <item t="default"/>
      </items>
    </pivotField>
    <pivotField dataField="1" showAll="0"/>
  </pivotFields>
  <rowFields count="1">
    <field x="1"/>
  </rowFields>
  <rowItems count="5">
    <i>
      <x/>
    </i>
    <i>
      <x v="1"/>
    </i>
    <i>
      <x v="2"/>
    </i>
    <i>
      <x v="3"/>
    </i>
    <i t="grand">
      <x/>
    </i>
  </rowItems>
  <colItems count="1">
    <i/>
  </colItems>
  <dataFields count="1">
    <dataField name="Sum of Sales" fld="6" baseField="0" baseItem="0"/>
  </dataFields>
  <formats count="12">
    <format dxfId="45">
      <pivotArea type="all" dataOnly="0" outline="0" fieldPosition="0"/>
    </format>
    <format dxfId="44">
      <pivotArea outline="0" collapsedLevelsAreSubtotals="1" fieldPosition="0"/>
    </format>
    <format dxfId="43">
      <pivotArea field="1" type="button" dataOnly="0" labelOnly="1" outline="0" axis="axisRow" fieldPosition="0"/>
    </format>
    <format dxfId="42">
      <pivotArea dataOnly="0" labelOnly="1" fieldPosition="0">
        <references count="1">
          <reference field="1" count="3">
            <x v="1"/>
            <x v="2"/>
            <x v="3"/>
          </reference>
        </references>
      </pivotArea>
    </format>
    <format dxfId="41">
      <pivotArea dataOnly="0" labelOnly="1" grandRow="1" outline="0"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 dxfId="3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30B36F0-A9D1-452D-BF13-B4A728B84EEA}" sourceName="Product">
  <pivotTables>
    <pivotTable tabId="1" name="PivotTable3"/>
    <pivotTable tabId="1" name="PivotTable1"/>
    <pivotTable tabId="1" name="PivotTable2"/>
  </pivotTables>
  <data>
    <tabular pivotCacheId="971595297">
      <items count="6">
        <i x="2" s="1"/>
        <i x="5" s="1"/>
        <i x="0"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7CAE54C-FD82-4620-8DCA-18D235BDD73D}" sourceName="Salesperson">
  <pivotTables>
    <pivotTable tabId="1" name="PivotTable8"/>
  </pivotTables>
  <data>
    <tabular pivotCacheId="2043251009">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ID" xr10:uid="{9849E7C6-5631-454A-BBA0-984B6B8DA7F4}" sourceName="OrderID">
  <pivotTables>
    <pivotTable tabId="1" name="PivotTable4"/>
  </pivotTables>
  <data>
    <tabular pivotCacheId="1667939207">
      <items count="20">
        <i x="0" s="1"/>
        <i x="1" s="1"/>
        <i x="2" s="1"/>
        <i x="3" s="1"/>
        <i x="4" s="1"/>
        <i x="5" s="1"/>
        <i x="6" s="1"/>
        <i x="7" s="1"/>
        <i x="8" s="1"/>
        <i x="9" s="1"/>
        <i x="10" s="1"/>
        <i x="11" s="1"/>
        <i x="12" s="1"/>
        <i x="13" s="1"/>
        <i x="14" s="1"/>
        <i x="15" s="1"/>
        <i x="16" s="1"/>
        <i x="17" s="1"/>
        <i x="18" s="1"/>
        <i x="1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B0EB51AA-FA62-4E1A-88DF-4916E2E04BDB}" sourceName="Salesperson">
  <pivotTables>
    <pivotTable tabId="1" name="PivotTable1"/>
    <pivotTable tabId="1" name="PivotTable2"/>
  </pivotTables>
  <data>
    <tabular pivotCacheId="971595297">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0E2013-73F5-4CC3-950F-E05B9B401B40}" sourceName="Region">
  <pivotTables>
    <pivotTable tabId="1" name="PivotTable2"/>
    <pivotTable tabId="1" name="PivotTable3"/>
    <pivotTable tabId="1" name="PivotTable1"/>
  </pivotTables>
  <data>
    <tabular pivotCacheId="97159529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DAA9476-B070-4126-A3F9-BBAB7C2E00A1}" cache="Slicer_Product" caption="Product" rowHeight="241300"/>
  <slicer name="Salesperson" xr10:uid="{9F0363EA-6F27-4BA1-BF39-F638F9D61D68}" cache="Slicer_Salesperson" caption="Salesperson" rowHeight="241300"/>
  <slicer name="OrderID" xr10:uid="{1F76FC72-3F6E-4B4D-9DDD-7DA1651CF075}" cache="Slicer_OrderID" caption="OrderID" startItem="3" rowHeight="241300"/>
  <slicer name="Salesperson 1" xr10:uid="{9A3231CC-1AE7-4A53-A9BB-D03E1EF2CF21}" cache="Slicer_Salesperson1" caption="Salesperson" rowHeight="241300"/>
  <slicer name="Region" xr10:uid="{549829DB-BA9B-44A5-A381-7790FCD2139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80C49-2B8F-40DC-9776-2378FFA50510}">
  <dimension ref="A1:AM205"/>
  <sheetViews>
    <sheetView tabSelected="1" topLeftCell="Y102" zoomScale="115" zoomScaleNormal="115" workbookViewId="0">
      <selection activeCell="AO115" sqref="AO115"/>
    </sheetView>
  </sheetViews>
  <sheetFormatPr defaultRowHeight="15" x14ac:dyDescent="0.25"/>
  <cols>
    <col min="1" max="1" width="36.7109375" customWidth="1"/>
    <col min="4" max="4" width="45.140625" bestFit="1" customWidth="1"/>
    <col min="5" max="5" width="35.85546875" customWidth="1"/>
    <col min="6" max="6" width="30" customWidth="1"/>
    <col min="7" max="7" width="16.5703125" customWidth="1"/>
    <col min="8" max="8" width="20.42578125" customWidth="1"/>
    <col min="9" max="9" width="13.28515625" customWidth="1"/>
    <col min="10" max="10" width="15.7109375" customWidth="1"/>
    <col min="11" max="11" width="15.140625" customWidth="1"/>
    <col min="12" max="12" width="7.42578125" customWidth="1"/>
    <col min="13" max="13" width="2.7109375" hidden="1" customWidth="1"/>
    <col min="14" max="14" width="19.42578125" customWidth="1"/>
    <col min="16" max="16" width="8.5703125" bestFit="1" customWidth="1"/>
    <col min="21" max="21" width="13.140625" bestFit="1" customWidth="1"/>
    <col min="22" max="22" width="12.140625" bestFit="1" customWidth="1"/>
    <col min="23" max="23" width="15.5703125" bestFit="1" customWidth="1"/>
    <col min="24" max="24" width="12.140625" bestFit="1" customWidth="1"/>
    <col min="26" max="26" width="12.7109375" bestFit="1" customWidth="1"/>
    <col min="27" max="27" width="12" customWidth="1"/>
    <col min="29" max="29" width="13.140625" customWidth="1"/>
    <col min="30" max="30" width="13.140625" bestFit="1" customWidth="1"/>
    <col min="31" max="31" width="12.140625" bestFit="1" customWidth="1"/>
    <col min="32" max="32" width="13.7109375" customWidth="1"/>
    <col min="34" max="34" width="12.5703125" customWidth="1"/>
    <col min="35" max="35" width="13.5703125" customWidth="1"/>
    <col min="36" max="36" width="13.85546875" customWidth="1"/>
    <col min="37" max="37" width="15.140625" bestFit="1" customWidth="1"/>
    <col min="38" max="38" width="10.85546875" bestFit="1" customWidth="1"/>
  </cols>
  <sheetData>
    <row r="1" spans="3:35" ht="15.75" thickBot="1" x14ac:dyDescent="0.3"/>
    <row r="2" spans="3:35" x14ac:dyDescent="0.25">
      <c r="C2" s="9"/>
      <c r="D2" s="10"/>
      <c r="E2" s="10"/>
      <c r="F2" s="10"/>
      <c r="G2" s="10"/>
      <c r="H2" s="10"/>
      <c r="I2" s="10"/>
      <c r="J2" s="11"/>
    </row>
    <row r="3" spans="3:35" ht="30" x14ac:dyDescent="0.3">
      <c r="C3" s="12"/>
      <c r="D3" s="13" t="s">
        <v>0</v>
      </c>
      <c r="J3" s="14"/>
      <c r="N3" s="3" t="s">
        <v>68</v>
      </c>
      <c r="O3" s="3" t="s">
        <v>69</v>
      </c>
      <c r="P3" s="3" t="s">
        <v>70</v>
      </c>
      <c r="Q3" s="3" t="s">
        <v>71</v>
      </c>
      <c r="R3" s="3" t="s">
        <v>72</v>
      </c>
      <c r="S3" s="3" t="s">
        <v>73</v>
      </c>
      <c r="T3" s="3" t="s">
        <v>74</v>
      </c>
      <c r="V3" s="22"/>
      <c r="W3" s="23"/>
      <c r="X3" s="23"/>
      <c r="Y3" s="23"/>
      <c r="Z3" s="23"/>
      <c r="AA3" s="23"/>
      <c r="AB3" s="24"/>
      <c r="AC3" s="23"/>
      <c r="AD3" s="23"/>
      <c r="AE3" s="23"/>
      <c r="AF3" s="23"/>
      <c r="AG3" s="23"/>
      <c r="AH3" s="23"/>
      <c r="AI3" s="24"/>
    </row>
    <row r="4" spans="3:35" ht="30" x14ac:dyDescent="0.25">
      <c r="C4" s="12"/>
      <c r="J4" s="14"/>
      <c r="N4" s="4">
        <v>1001</v>
      </c>
      <c r="O4" s="4" t="s">
        <v>75</v>
      </c>
      <c r="P4" s="4" t="s">
        <v>76</v>
      </c>
      <c r="Q4" s="4" t="s">
        <v>77</v>
      </c>
      <c r="R4" s="4" t="s">
        <v>78</v>
      </c>
      <c r="S4" s="4">
        <v>2</v>
      </c>
      <c r="T4" s="4">
        <v>90000</v>
      </c>
      <c r="V4" s="25"/>
      <c r="W4" s="31" t="s">
        <v>91</v>
      </c>
      <c r="X4" s="30" t="s">
        <v>92</v>
      </c>
      <c r="AB4" s="26"/>
      <c r="AD4" s="31" t="s">
        <v>91</v>
      </c>
      <c r="AE4" s="30" t="s">
        <v>94</v>
      </c>
      <c r="AI4" s="26"/>
    </row>
    <row r="5" spans="3:35" ht="30" x14ac:dyDescent="0.25">
      <c r="C5" s="12"/>
      <c r="J5" s="14"/>
      <c r="N5" s="4">
        <v>1002</v>
      </c>
      <c r="O5" s="4" t="s">
        <v>79</v>
      </c>
      <c r="P5" s="4" t="s">
        <v>80</v>
      </c>
      <c r="Q5" s="4" t="s">
        <v>81</v>
      </c>
      <c r="R5" s="4" t="s">
        <v>78</v>
      </c>
      <c r="S5" s="4">
        <v>3</v>
      </c>
      <c r="T5" s="4">
        <v>60000</v>
      </c>
      <c r="V5" s="25"/>
      <c r="W5" s="39" t="s">
        <v>82</v>
      </c>
      <c r="X5" s="37">
        <v>177000</v>
      </c>
      <c r="AB5" s="26"/>
      <c r="AD5" s="34" t="s">
        <v>78</v>
      </c>
      <c r="AE5" s="37">
        <v>36</v>
      </c>
      <c r="AI5" s="26"/>
    </row>
    <row r="6" spans="3:35" ht="30" x14ac:dyDescent="0.25">
      <c r="C6" s="12"/>
      <c r="D6" s="3" t="s">
        <v>36</v>
      </c>
      <c r="E6" s="3" t="s">
        <v>38</v>
      </c>
      <c r="F6" s="3" t="s">
        <v>39</v>
      </c>
      <c r="J6" s="14"/>
      <c r="N6" s="4">
        <v>1003</v>
      </c>
      <c r="O6" s="4" t="s">
        <v>82</v>
      </c>
      <c r="P6" s="4" t="s">
        <v>83</v>
      </c>
      <c r="Q6" s="4" t="s">
        <v>84</v>
      </c>
      <c r="R6" s="4" t="s">
        <v>85</v>
      </c>
      <c r="S6" s="4">
        <v>5</v>
      </c>
      <c r="T6" s="4">
        <v>25000</v>
      </c>
      <c r="V6" s="25"/>
      <c r="W6" s="34" t="s">
        <v>75</v>
      </c>
      <c r="X6" s="38">
        <v>343000</v>
      </c>
      <c r="AB6" s="26"/>
      <c r="AD6" s="35" t="s">
        <v>85</v>
      </c>
      <c r="AE6" s="38">
        <v>27</v>
      </c>
      <c r="AI6" s="26"/>
    </row>
    <row r="7" spans="3:35" ht="30" x14ac:dyDescent="0.25">
      <c r="C7" s="12"/>
      <c r="D7" s="4" t="s">
        <v>37</v>
      </c>
      <c r="E7" s="4">
        <v>78</v>
      </c>
      <c r="F7" s="4">
        <v>85</v>
      </c>
      <c r="G7" s="15"/>
      <c r="H7" s="15"/>
      <c r="I7" s="15"/>
      <c r="J7" s="14"/>
      <c r="N7" s="4">
        <v>1004</v>
      </c>
      <c r="O7" s="4" t="s">
        <v>86</v>
      </c>
      <c r="P7" s="4" t="s">
        <v>87</v>
      </c>
      <c r="Q7" s="4" t="s">
        <v>88</v>
      </c>
      <c r="R7" s="4" t="s">
        <v>85</v>
      </c>
      <c r="S7" s="4">
        <v>2</v>
      </c>
      <c r="T7" s="4">
        <v>18000</v>
      </c>
      <c r="V7" s="25"/>
      <c r="W7" s="39" t="s">
        <v>79</v>
      </c>
      <c r="X7" s="38">
        <v>310000</v>
      </c>
      <c r="AB7" s="26"/>
      <c r="AD7" s="32" t="s">
        <v>93</v>
      </c>
      <c r="AE7" s="33">
        <v>63</v>
      </c>
      <c r="AI7" s="26"/>
    </row>
    <row r="8" spans="3:35" ht="30" x14ac:dyDescent="0.25">
      <c r="C8" s="12"/>
      <c r="D8" s="4" t="s">
        <v>40</v>
      </c>
      <c r="E8" s="4">
        <v>72</v>
      </c>
      <c r="F8" s="4">
        <v>88</v>
      </c>
      <c r="G8" s="16"/>
      <c r="H8" s="16"/>
      <c r="I8" s="16"/>
      <c r="J8" s="14"/>
      <c r="N8" s="4">
        <v>1005</v>
      </c>
      <c r="O8" s="4" t="s">
        <v>75</v>
      </c>
      <c r="P8" s="4" t="s">
        <v>76</v>
      </c>
      <c r="Q8" s="4" t="s">
        <v>81</v>
      </c>
      <c r="R8" s="4" t="s">
        <v>78</v>
      </c>
      <c r="S8" s="4">
        <v>4</v>
      </c>
      <c r="T8" s="4">
        <v>80000</v>
      </c>
      <c r="V8" s="25"/>
      <c r="W8" s="35" t="s">
        <v>86</v>
      </c>
      <c r="X8" s="38">
        <v>226000</v>
      </c>
      <c r="AB8" s="26"/>
      <c r="AI8" s="26"/>
    </row>
    <row r="9" spans="3:35" ht="30" x14ac:dyDescent="0.25">
      <c r="C9" s="12"/>
      <c r="D9" s="4" t="s">
        <v>41</v>
      </c>
      <c r="E9" s="4">
        <v>69</v>
      </c>
      <c r="F9" s="4">
        <v>81</v>
      </c>
      <c r="G9" s="16"/>
      <c r="H9" s="16"/>
      <c r="I9" s="16"/>
      <c r="J9" s="14"/>
      <c r="N9" s="4">
        <v>1006</v>
      </c>
      <c r="O9" s="4" t="s">
        <v>79</v>
      </c>
      <c r="P9" s="4" t="s">
        <v>80</v>
      </c>
      <c r="Q9" s="4" t="s">
        <v>89</v>
      </c>
      <c r="R9" s="4" t="s">
        <v>78</v>
      </c>
      <c r="S9" s="4">
        <v>2</v>
      </c>
      <c r="T9" s="4">
        <v>30000</v>
      </c>
      <c r="V9" s="25"/>
      <c r="W9" s="32" t="s">
        <v>93</v>
      </c>
      <c r="X9" s="33">
        <v>1056000</v>
      </c>
      <c r="AB9" s="26"/>
      <c r="AI9" s="26"/>
    </row>
    <row r="10" spans="3:35" ht="30" x14ac:dyDescent="0.25">
      <c r="C10" s="12"/>
      <c r="D10" s="4" t="s">
        <v>37</v>
      </c>
      <c r="E10" s="4">
        <v>82</v>
      </c>
      <c r="F10" s="4">
        <v>87</v>
      </c>
      <c r="G10" s="16"/>
      <c r="H10" s="16"/>
      <c r="I10" s="16"/>
      <c r="J10" s="14"/>
      <c r="N10" s="4">
        <v>1007</v>
      </c>
      <c r="O10" s="4" t="s">
        <v>82</v>
      </c>
      <c r="P10" s="4" t="s">
        <v>83</v>
      </c>
      <c r="Q10" s="4" t="s">
        <v>90</v>
      </c>
      <c r="R10" s="4" t="s">
        <v>85</v>
      </c>
      <c r="S10" s="4">
        <v>3</v>
      </c>
      <c r="T10" s="4">
        <v>27000</v>
      </c>
      <c r="V10" s="25"/>
      <c r="AB10" s="26"/>
      <c r="AI10" s="26"/>
    </row>
    <row r="11" spans="3:35" ht="30" x14ac:dyDescent="0.25">
      <c r="C11" s="12"/>
      <c r="D11" s="4" t="s">
        <v>40</v>
      </c>
      <c r="E11" s="4">
        <v>76</v>
      </c>
      <c r="F11" s="4">
        <v>91</v>
      </c>
      <c r="G11" s="16"/>
      <c r="H11" s="16"/>
      <c r="I11" s="16"/>
      <c r="J11" s="14"/>
      <c r="N11" s="4">
        <v>1008</v>
      </c>
      <c r="O11" s="4" t="s">
        <v>86</v>
      </c>
      <c r="P11" s="4" t="s">
        <v>87</v>
      </c>
      <c r="Q11" s="4" t="s">
        <v>77</v>
      </c>
      <c r="R11" s="4" t="s">
        <v>78</v>
      </c>
      <c r="S11" s="4">
        <v>1</v>
      </c>
      <c r="T11" s="4">
        <v>45000</v>
      </c>
      <c r="V11" s="25"/>
      <c r="AB11" s="26"/>
      <c r="AI11" s="26"/>
    </row>
    <row r="12" spans="3:35" ht="30" x14ac:dyDescent="0.25">
      <c r="C12" s="12"/>
      <c r="D12" s="4" t="s">
        <v>41</v>
      </c>
      <c r="E12" s="4">
        <v>74</v>
      </c>
      <c r="F12" s="4">
        <v>83</v>
      </c>
      <c r="G12" s="16"/>
      <c r="H12" s="16"/>
      <c r="I12" s="16"/>
      <c r="J12" s="14"/>
      <c r="N12" s="4">
        <v>1009</v>
      </c>
      <c r="O12" s="4" t="s">
        <v>75</v>
      </c>
      <c r="P12" s="4" t="s">
        <v>76</v>
      </c>
      <c r="Q12" s="4" t="s">
        <v>84</v>
      </c>
      <c r="R12" s="4" t="s">
        <v>85</v>
      </c>
      <c r="S12" s="4">
        <v>4</v>
      </c>
      <c r="T12" s="4">
        <v>20000</v>
      </c>
      <c r="V12" s="25"/>
      <c r="AB12" s="26"/>
      <c r="AI12" s="26"/>
    </row>
    <row r="13" spans="3:35" ht="30" x14ac:dyDescent="0.25">
      <c r="C13" s="12"/>
      <c r="D13" s="4" t="s">
        <v>37</v>
      </c>
      <c r="E13" s="4">
        <v>79</v>
      </c>
      <c r="F13" s="4">
        <v>90</v>
      </c>
      <c r="G13" s="16"/>
      <c r="H13" s="16"/>
      <c r="I13" s="16"/>
      <c r="J13" s="14"/>
      <c r="N13" s="4">
        <v>1010</v>
      </c>
      <c r="O13" s="4" t="s">
        <v>79</v>
      </c>
      <c r="P13" s="4" t="s">
        <v>80</v>
      </c>
      <c r="Q13" s="4" t="s">
        <v>81</v>
      </c>
      <c r="R13" s="4" t="s">
        <v>78</v>
      </c>
      <c r="S13" s="4">
        <v>5</v>
      </c>
      <c r="T13" s="4">
        <v>100000</v>
      </c>
      <c r="V13" s="25"/>
      <c r="AB13" s="26"/>
      <c r="AI13" s="26"/>
    </row>
    <row r="14" spans="3:35" ht="30" x14ac:dyDescent="0.25">
      <c r="C14" s="12"/>
      <c r="D14" s="4" t="s">
        <v>40</v>
      </c>
      <c r="E14" s="4">
        <v>75</v>
      </c>
      <c r="F14" s="4">
        <v>89</v>
      </c>
      <c r="G14" s="16"/>
      <c r="H14" s="16"/>
      <c r="I14" s="16"/>
      <c r="J14" s="14"/>
      <c r="N14" s="4">
        <v>1011</v>
      </c>
      <c r="O14" s="4" t="s">
        <v>82</v>
      </c>
      <c r="P14" s="4" t="s">
        <v>83</v>
      </c>
      <c r="Q14" s="4" t="s">
        <v>89</v>
      </c>
      <c r="R14" s="4" t="s">
        <v>78</v>
      </c>
      <c r="S14" s="4">
        <v>2</v>
      </c>
      <c r="T14" s="4">
        <v>30000</v>
      </c>
      <c r="V14" s="25"/>
      <c r="AB14" s="26"/>
      <c r="AI14" s="26"/>
    </row>
    <row r="15" spans="3:35" ht="30" x14ac:dyDescent="0.25">
      <c r="C15" s="12"/>
      <c r="D15" s="4" t="s">
        <v>41</v>
      </c>
      <c r="E15" s="4">
        <v>71</v>
      </c>
      <c r="F15" s="4">
        <v>85</v>
      </c>
      <c r="G15" s="16"/>
      <c r="H15" s="16"/>
      <c r="I15" s="16"/>
      <c r="J15" s="14"/>
      <c r="N15" s="4">
        <v>1012</v>
      </c>
      <c r="O15" s="4" t="s">
        <v>86</v>
      </c>
      <c r="P15" s="4" t="s">
        <v>87</v>
      </c>
      <c r="Q15" s="4" t="s">
        <v>90</v>
      </c>
      <c r="R15" s="4" t="s">
        <v>85</v>
      </c>
      <c r="S15" s="4">
        <v>2</v>
      </c>
      <c r="T15" s="4">
        <v>18000</v>
      </c>
      <c r="V15" s="25"/>
      <c r="AB15" s="26"/>
      <c r="AI15" s="26"/>
    </row>
    <row r="16" spans="3:35" ht="30" x14ac:dyDescent="0.25">
      <c r="C16" s="12"/>
      <c r="D16" s="16"/>
      <c r="E16" s="16"/>
      <c r="F16" s="16"/>
      <c r="G16" s="16"/>
      <c r="H16" s="16"/>
      <c r="I16" s="16"/>
      <c r="J16" s="14"/>
      <c r="N16" s="4">
        <v>1013</v>
      </c>
      <c r="O16" s="4" t="s">
        <v>75</v>
      </c>
      <c r="P16" s="4" t="s">
        <v>76</v>
      </c>
      <c r="Q16" s="4" t="s">
        <v>77</v>
      </c>
      <c r="R16" s="4" t="s">
        <v>78</v>
      </c>
      <c r="S16" s="4">
        <v>3</v>
      </c>
      <c r="T16" s="4">
        <v>135000</v>
      </c>
      <c r="V16" s="25"/>
      <c r="AB16" s="26"/>
      <c r="AI16" s="26"/>
    </row>
    <row r="17" spans="1:35" ht="30" x14ac:dyDescent="0.25">
      <c r="C17" s="12"/>
      <c r="D17" s="16"/>
      <c r="E17" s="16"/>
      <c r="F17" s="16"/>
      <c r="G17" s="16"/>
      <c r="H17" s="16"/>
      <c r="I17" s="16"/>
      <c r="J17" s="14"/>
      <c r="N17" s="4">
        <v>1014</v>
      </c>
      <c r="O17" s="4" t="s">
        <v>79</v>
      </c>
      <c r="P17" s="4" t="s">
        <v>80</v>
      </c>
      <c r="Q17" s="4" t="s">
        <v>84</v>
      </c>
      <c r="R17" s="4" t="s">
        <v>85</v>
      </c>
      <c r="S17" s="4">
        <v>6</v>
      </c>
      <c r="T17" s="4">
        <v>30000</v>
      </c>
      <c r="V17" s="27"/>
      <c r="W17" s="28"/>
      <c r="X17" s="28"/>
      <c r="Y17" s="28"/>
      <c r="Z17" s="28"/>
      <c r="AA17" s="28"/>
      <c r="AB17" s="29"/>
      <c r="AC17" s="28"/>
      <c r="AD17" s="28"/>
      <c r="AE17" s="28"/>
      <c r="AF17" s="28"/>
      <c r="AG17" s="28"/>
      <c r="AH17" s="28"/>
      <c r="AI17" s="29"/>
    </row>
    <row r="18" spans="1:35" ht="30" x14ac:dyDescent="0.25">
      <c r="C18" s="12"/>
      <c r="J18" s="14"/>
      <c r="N18" s="4">
        <v>1015</v>
      </c>
      <c r="O18" s="4" t="s">
        <v>82</v>
      </c>
      <c r="P18" s="4" t="s">
        <v>83</v>
      </c>
      <c r="Q18" s="4" t="s">
        <v>81</v>
      </c>
      <c r="R18" s="4" t="s">
        <v>78</v>
      </c>
      <c r="S18" s="4">
        <v>4</v>
      </c>
      <c r="T18" s="4">
        <v>80000</v>
      </c>
      <c r="V18" s="22"/>
      <c r="W18" s="23"/>
      <c r="X18" s="23"/>
      <c r="Y18" s="23"/>
      <c r="Z18" s="23"/>
      <c r="AA18" s="23"/>
      <c r="AB18" s="23"/>
      <c r="AC18" s="23"/>
      <c r="AD18" s="23"/>
      <c r="AE18" s="23"/>
      <c r="AF18" s="23"/>
      <c r="AG18" s="23"/>
      <c r="AH18" s="23"/>
      <c r="AI18" s="24"/>
    </row>
    <row r="19" spans="1:35" ht="30" x14ac:dyDescent="0.25">
      <c r="C19" s="12"/>
      <c r="D19" s="1" t="s">
        <v>1</v>
      </c>
      <c r="J19" s="14"/>
      <c r="N19" s="4">
        <v>1016</v>
      </c>
      <c r="O19" s="4" t="s">
        <v>86</v>
      </c>
      <c r="P19" s="4" t="s">
        <v>87</v>
      </c>
      <c r="Q19" s="4" t="s">
        <v>89</v>
      </c>
      <c r="R19" s="4" t="s">
        <v>78</v>
      </c>
      <c r="S19" s="4">
        <v>3</v>
      </c>
      <c r="T19" s="4">
        <v>45000</v>
      </c>
      <c r="V19" s="25"/>
      <c r="W19" s="41" t="s">
        <v>91</v>
      </c>
      <c r="X19" s="33" t="s">
        <v>94</v>
      </c>
      <c r="AI19" s="26"/>
    </row>
    <row r="20" spans="1:35" ht="30" x14ac:dyDescent="0.25">
      <c r="C20" s="12"/>
      <c r="J20" s="14"/>
      <c r="N20" s="4">
        <v>1017</v>
      </c>
      <c r="O20" s="4" t="s">
        <v>75</v>
      </c>
      <c r="P20" s="4" t="s">
        <v>76</v>
      </c>
      <c r="Q20" s="4" t="s">
        <v>88</v>
      </c>
      <c r="R20" s="4" t="s">
        <v>85</v>
      </c>
      <c r="S20" s="4">
        <v>2</v>
      </c>
      <c r="T20" s="4">
        <v>18000</v>
      </c>
      <c r="V20" s="25"/>
      <c r="W20" s="39" t="s">
        <v>82</v>
      </c>
      <c r="X20" s="38">
        <v>17</v>
      </c>
      <c r="AI20" s="26"/>
    </row>
    <row r="21" spans="1:35" ht="30.75" thickBot="1" x14ac:dyDescent="0.3">
      <c r="C21" s="12"/>
      <c r="D21" t="s">
        <v>2</v>
      </c>
      <c r="J21" s="14"/>
      <c r="N21" s="4">
        <v>1018</v>
      </c>
      <c r="O21" s="4" t="s">
        <v>79</v>
      </c>
      <c r="P21" s="4" t="s">
        <v>80</v>
      </c>
      <c r="Q21" s="4" t="s">
        <v>77</v>
      </c>
      <c r="R21" s="4" t="s">
        <v>78</v>
      </c>
      <c r="S21" s="4">
        <v>2</v>
      </c>
      <c r="T21" s="4">
        <v>90000</v>
      </c>
      <c r="V21" s="25"/>
      <c r="W21" s="39" t="s">
        <v>75</v>
      </c>
      <c r="X21" s="38">
        <v>15</v>
      </c>
      <c r="AI21" s="26"/>
    </row>
    <row r="22" spans="1:35" ht="30" x14ac:dyDescent="0.25">
      <c r="C22" s="12"/>
      <c r="D22" s="7" t="s">
        <v>3</v>
      </c>
      <c r="E22" s="7" t="s">
        <v>4</v>
      </c>
      <c r="F22" s="7" t="s">
        <v>5</v>
      </c>
      <c r="G22" s="7" t="s">
        <v>6</v>
      </c>
      <c r="H22" s="7" t="s">
        <v>7</v>
      </c>
      <c r="J22" s="14"/>
      <c r="N22" s="4">
        <v>1019</v>
      </c>
      <c r="O22" s="4" t="s">
        <v>82</v>
      </c>
      <c r="P22" s="4" t="s">
        <v>83</v>
      </c>
      <c r="Q22" s="4" t="s">
        <v>84</v>
      </c>
      <c r="R22" s="4" t="s">
        <v>85</v>
      </c>
      <c r="S22" s="4">
        <v>3</v>
      </c>
      <c r="T22" s="4">
        <v>15000</v>
      </c>
      <c r="V22" s="25"/>
      <c r="W22" s="39" t="s">
        <v>79</v>
      </c>
      <c r="X22" s="38">
        <v>18</v>
      </c>
      <c r="AI22" s="26"/>
    </row>
    <row r="23" spans="1:35" ht="30" x14ac:dyDescent="0.25">
      <c r="C23" s="12"/>
      <c r="D23" t="s">
        <v>38</v>
      </c>
      <c r="E23">
        <v>10</v>
      </c>
      <c r="F23">
        <v>760</v>
      </c>
      <c r="G23">
        <v>76</v>
      </c>
      <c r="H23">
        <v>23.111111111111111</v>
      </c>
      <c r="J23" s="14"/>
      <c r="N23" s="4">
        <v>1020</v>
      </c>
      <c r="O23" s="4" t="s">
        <v>86</v>
      </c>
      <c r="P23" s="4" t="s">
        <v>87</v>
      </c>
      <c r="Q23" s="4" t="s">
        <v>81</v>
      </c>
      <c r="R23" s="4" t="s">
        <v>78</v>
      </c>
      <c r="S23" s="4">
        <v>5</v>
      </c>
      <c r="T23" s="4">
        <v>100000</v>
      </c>
      <c r="V23" s="25"/>
      <c r="W23" s="35" t="s">
        <v>86</v>
      </c>
      <c r="X23" s="38">
        <v>13</v>
      </c>
      <c r="AI23" s="26"/>
    </row>
    <row r="24" spans="1:35" ht="15.75" thickBot="1" x14ac:dyDescent="0.3">
      <c r="C24" s="12"/>
      <c r="D24" s="6" t="s">
        <v>39</v>
      </c>
      <c r="E24" s="6">
        <v>10</v>
      </c>
      <c r="F24" s="6">
        <v>871</v>
      </c>
      <c r="G24" s="6">
        <v>87.1</v>
      </c>
      <c r="H24" s="6">
        <v>12.766666666666667</v>
      </c>
      <c r="J24" s="14"/>
      <c r="V24" s="25"/>
      <c r="W24" s="35" t="s">
        <v>93</v>
      </c>
      <c r="X24" s="33">
        <v>63</v>
      </c>
      <c r="AI24" s="26"/>
    </row>
    <row r="25" spans="1:35" x14ac:dyDescent="0.25">
      <c r="C25" s="12"/>
      <c r="J25" s="14"/>
      <c r="V25" s="25"/>
      <c r="AI25" s="26"/>
    </row>
    <row r="26" spans="1:35" x14ac:dyDescent="0.25">
      <c r="C26" s="12"/>
      <c r="J26" s="14"/>
      <c r="L26" s="2"/>
      <c r="M26" s="2"/>
      <c r="N26" s="2"/>
      <c r="O26" s="2"/>
      <c r="P26" s="2"/>
      <c r="Q26" s="2"/>
      <c r="R26" s="2"/>
      <c r="S26" s="2"/>
      <c r="T26" s="2"/>
      <c r="U26" s="2"/>
      <c r="V26" s="40"/>
      <c r="W26" s="2"/>
      <c r="AI26" s="26"/>
    </row>
    <row r="27" spans="1:35" ht="15.75" thickBot="1" x14ac:dyDescent="0.3">
      <c r="A27" s="1"/>
      <c r="C27" s="12"/>
      <c r="D27" t="s">
        <v>8</v>
      </c>
      <c r="J27" s="14"/>
      <c r="V27" s="25"/>
      <c r="AI27" s="26"/>
    </row>
    <row r="28" spans="1:35" x14ac:dyDescent="0.25">
      <c r="C28" s="12"/>
      <c r="D28" s="7" t="s">
        <v>9</v>
      </c>
      <c r="E28" s="7" t="s">
        <v>10</v>
      </c>
      <c r="F28" s="7" t="s">
        <v>11</v>
      </c>
      <c r="G28" s="7" t="s">
        <v>12</v>
      </c>
      <c r="H28" s="7" t="s">
        <v>13</v>
      </c>
      <c r="I28" s="7" t="s">
        <v>14</v>
      </c>
      <c r="J28" s="17" t="s">
        <v>15</v>
      </c>
      <c r="V28" s="25"/>
      <c r="AI28" s="26"/>
    </row>
    <row r="29" spans="1:35" x14ac:dyDescent="0.25">
      <c r="C29" s="12"/>
      <c r="D29" t="s">
        <v>16</v>
      </c>
      <c r="E29">
        <v>616.04999999999995</v>
      </c>
      <c r="F29">
        <v>1</v>
      </c>
      <c r="G29">
        <v>616.04999999999995</v>
      </c>
      <c r="H29">
        <v>34.341591824094152</v>
      </c>
      <c r="I29">
        <v>1.5025868232057614E-5</v>
      </c>
      <c r="J29" s="14">
        <v>4.4138734191705664</v>
      </c>
      <c r="V29" s="27"/>
      <c r="W29" s="28"/>
      <c r="X29" s="28"/>
      <c r="Y29" s="28"/>
      <c r="Z29" s="28"/>
      <c r="AA29" s="28"/>
      <c r="AB29" s="28"/>
      <c r="AC29" s="28"/>
      <c r="AD29" s="28"/>
      <c r="AE29" s="28"/>
      <c r="AF29" s="28"/>
      <c r="AG29" s="28"/>
      <c r="AH29" s="28"/>
      <c r="AI29" s="29"/>
    </row>
    <row r="30" spans="1:35" x14ac:dyDescent="0.25">
      <c r="C30" s="12"/>
      <c r="D30" t="s">
        <v>17</v>
      </c>
      <c r="E30">
        <v>322.89999999999998</v>
      </c>
      <c r="F30">
        <v>18</v>
      </c>
      <c r="G30">
        <v>17.938888888888886</v>
      </c>
      <c r="J30" s="14"/>
    </row>
    <row r="31" spans="1:35" x14ac:dyDescent="0.25">
      <c r="C31" s="12"/>
      <c r="J31" s="14"/>
    </row>
    <row r="32" spans="1:35" ht="15.75" thickBot="1" x14ac:dyDescent="0.3">
      <c r="C32" s="12"/>
      <c r="D32" s="6" t="s">
        <v>18</v>
      </c>
      <c r="E32" s="6">
        <v>938.94999999999993</v>
      </c>
      <c r="F32" s="6">
        <v>19</v>
      </c>
      <c r="G32" s="6"/>
      <c r="H32" s="6"/>
      <c r="I32" s="6"/>
      <c r="J32" s="18"/>
    </row>
    <row r="33" spans="3:31" x14ac:dyDescent="0.25">
      <c r="C33" s="12"/>
      <c r="J33" s="14"/>
    </row>
    <row r="34" spans="3:31" x14ac:dyDescent="0.25">
      <c r="C34" s="12"/>
      <c r="J34" s="14"/>
    </row>
    <row r="35" spans="3:31" x14ac:dyDescent="0.25">
      <c r="C35" s="12"/>
      <c r="J35" s="14"/>
      <c r="U35" s="31" t="s">
        <v>91</v>
      </c>
      <c r="V35" s="30" t="s">
        <v>92</v>
      </c>
      <c r="AD35" s="31" t="s">
        <v>91</v>
      </c>
      <c r="AE35" s="30" t="s">
        <v>92</v>
      </c>
    </row>
    <row r="36" spans="3:31" x14ac:dyDescent="0.25">
      <c r="C36" s="12"/>
      <c r="D36" s="1" t="s">
        <v>19</v>
      </c>
      <c r="J36" s="14"/>
      <c r="U36" s="39" t="s">
        <v>82</v>
      </c>
      <c r="V36" s="37">
        <v>177000</v>
      </c>
      <c r="AD36" s="36" t="s">
        <v>84</v>
      </c>
      <c r="AE36" s="37">
        <v>90000</v>
      </c>
    </row>
    <row r="37" spans="3:31" ht="15.75" thickBot="1" x14ac:dyDescent="0.3">
      <c r="C37" s="12"/>
      <c r="J37" s="14"/>
      <c r="U37" s="34" t="s">
        <v>75</v>
      </c>
      <c r="V37" s="38">
        <v>343000</v>
      </c>
      <c r="AD37" s="42" t="s">
        <v>82</v>
      </c>
      <c r="AE37" s="38">
        <v>40000</v>
      </c>
    </row>
    <row r="38" spans="3:31" x14ac:dyDescent="0.25">
      <c r="C38" s="12"/>
      <c r="D38" s="7" t="s">
        <v>2</v>
      </c>
      <c r="E38" s="7" t="s">
        <v>4</v>
      </c>
      <c r="F38" s="7" t="s">
        <v>5</v>
      </c>
      <c r="G38" s="7" t="s">
        <v>6</v>
      </c>
      <c r="H38" s="7" t="s">
        <v>7</v>
      </c>
      <c r="J38" s="14"/>
      <c r="U38" s="39" t="s">
        <v>79</v>
      </c>
      <c r="V38" s="38">
        <v>310000</v>
      </c>
      <c r="AD38" s="42" t="s">
        <v>75</v>
      </c>
      <c r="AE38" s="38">
        <v>20000</v>
      </c>
    </row>
    <row r="39" spans="3:31" x14ac:dyDescent="0.25">
      <c r="C39" s="12"/>
      <c r="D39" t="s">
        <v>37</v>
      </c>
      <c r="E39">
        <v>2</v>
      </c>
      <c r="F39">
        <v>163</v>
      </c>
      <c r="G39">
        <v>81.5</v>
      </c>
      <c r="H39">
        <v>24.5</v>
      </c>
      <c r="J39" s="14"/>
      <c r="U39" s="35" t="s">
        <v>86</v>
      </c>
      <c r="V39" s="38">
        <v>226000</v>
      </c>
      <c r="AD39" s="42" t="s">
        <v>79</v>
      </c>
      <c r="AE39" s="38">
        <v>30000</v>
      </c>
    </row>
    <row r="40" spans="3:31" x14ac:dyDescent="0.25">
      <c r="C40" s="12"/>
      <c r="D40" t="s">
        <v>40</v>
      </c>
      <c r="E40">
        <v>2</v>
      </c>
      <c r="F40">
        <v>160</v>
      </c>
      <c r="G40">
        <v>80</v>
      </c>
      <c r="H40">
        <v>128</v>
      </c>
      <c r="J40" s="14"/>
      <c r="U40" s="32" t="s">
        <v>93</v>
      </c>
      <c r="V40" s="33">
        <v>1056000</v>
      </c>
      <c r="AD40" s="36" t="s">
        <v>90</v>
      </c>
      <c r="AE40" s="38">
        <v>45000</v>
      </c>
    </row>
    <row r="41" spans="3:31" x14ac:dyDescent="0.25">
      <c r="C41" s="12"/>
      <c r="D41" t="s">
        <v>41</v>
      </c>
      <c r="E41">
        <v>2</v>
      </c>
      <c r="F41">
        <v>150</v>
      </c>
      <c r="G41">
        <v>75</v>
      </c>
      <c r="H41">
        <v>72</v>
      </c>
      <c r="J41" s="14"/>
      <c r="AD41" s="42" t="s">
        <v>82</v>
      </c>
      <c r="AE41" s="38">
        <v>27000</v>
      </c>
    </row>
    <row r="42" spans="3:31" x14ac:dyDescent="0.25">
      <c r="C42" s="12"/>
      <c r="J42" s="14"/>
      <c r="AD42" s="42" t="s">
        <v>86</v>
      </c>
      <c r="AE42" s="38">
        <v>18000</v>
      </c>
    </row>
    <row r="43" spans="3:31" x14ac:dyDescent="0.25">
      <c r="C43" s="12"/>
      <c r="D43" t="s">
        <v>38</v>
      </c>
      <c r="E43">
        <v>3</v>
      </c>
      <c r="F43">
        <v>219</v>
      </c>
      <c r="G43">
        <v>73</v>
      </c>
      <c r="H43">
        <v>21</v>
      </c>
      <c r="J43" s="14"/>
      <c r="AD43" s="36" t="s">
        <v>77</v>
      </c>
      <c r="AE43" s="38">
        <v>360000</v>
      </c>
    </row>
    <row r="44" spans="3:31" ht="15.75" thickBot="1" x14ac:dyDescent="0.3">
      <c r="C44" s="12"/>
      <c r="D44" s="6" t="s">
        <v>39</v>
      </c>
      <c r="E44" s="6">
        <v>3</v>
      </c>
      <c r="F44" s="6">
        <v>254</v>
      </c>
      <c r="G44" s="6">
        <v>84.666666666666671</v>
      </c>
      <c r="H44" s="6">
        <v>12.333333333333332</v>
      </c>
      <c r="J44" s="14"/>
      <c r="AD44" s="42" t="s">
        <v>75</v>
      </c>
      <c r="AE44" s="38">
        <v>225000</v>
      </c>
    </row>
    <row r="45" spans="3:31" x14ac:dyDescent="0.25">
      <c r="C45" s="12"/>
      <c r="J45" s="14"/>
      <c r="AD45" s="42" t="s">
        <v>79</v>
      </c>
      <c r="AE45" s="38">
        <v>90000</v>
      </c>
    </row>
    <row r="46" spans="3:31" x14ac:dyDescent="0.25">
      <c r="C46" s="12"/>
      <c r="J46" s="14"/>
      <c r="AD46" s="42" t="s">
        <v>86</v>
      </c>
      <c r="AE46" s="38">
        <v>45000</v>
      </c>
    </row>
    <row r="47" spans="3:31" ht="15.75" thickBot="1" x14ac:dyDescent="0.3">
      <c r="C47" s="12"/>
      <c r="D47" t="s">
        <v>8</v>
      </c>
      <c r="J47" s="14"/>
      <c r="AD47" s="36" t="s">
        <v>81</v>
      </c>
      <c r="AE47" s="38">
        <v>420000</v>
      </c>
    </row>
    <row r="48" spans="3:31" x14ac:dyDescent="0.25">
      <c r="C48" s="12"/>
      <c r="D48" s="7" t="s">
        <v>9</v>
      </c>
      <c r="E48" s="7" t="s">
        <v>10</v>
      </c>
      <c r="F48" s="7" t="s">
        <v>11</v>
      </c>
      <c r="G48" s="7" t="s">
        <v>12</v>
      </c>
      <c r="H48" s="7" t="s">
        <v>13</v>
      </c>
      <c r="I48" s="7" t="s">
        <v>14</v>
      </c>
      <c r="J48" s="17" t="s">
        <v>15</v>
      </c>
      <c r="AD48" s="42" t="s">
        <v>82</v>
      </c>
      <c r="AE48" s="38">
        <v>80000</v>
      </c>
    </row>
    <row r="49" spans="1:31" x14ac:dyDescent="0.25">
      <c r="C49" s="12"/>
      <c r="D49" t="s">
        <v>20</v>
      </c>
      <c r="E49">
        <v>46.333333333333314</v>
      </c>
      <c r="F49">
        <v>2</v>
      </c>
      <c r="G49">
        <v>23.166666666666657</v>
      </c>
      <c r="H49">
        <v>2.2786885245901618</v>
      </c>
      <c r="I49">
        <v>0.30500000000000022</v>
      </c>
      <c r="J49" s="14">
        <v>18.999999999999996</v>
      </c>
      <c r="AD49" s="42" t="s">
        <v>75</v>
      </c>
      <c r="AE49" s="38">
        <v>80000</v>
      </c>
    </row>
    <row r="50" spans="1:31" x14ac:dyDescent="0.25">
      <c r="C50" s="12"/>
      <c r="D50" t="s">
        <v>21</v>
      </c>
      <c r="E50">
        <v>204.16666666666666</v>
      </c>
      <c r="F50">
        <v>1</v>
      </c>
      <c r="G50">
        <v>204.16666666666666</v>
      </c>
      <c r="H50">
        <v>20.081967213114744</v>
      </c>
      <c r="I50">
        <v>4.6360466781603743E-2</v>
      </c>
      <c r="J50" s="14">
        <v>18.512820512820511</v>
      </c>
      <c r="AD50" s="42" t="s">
        <v>79</v>
      </c>
      <c r="AE50" s="38">
        <v>160000</v>
      </c>
    </row>
    <row r="51" spans="1:31" x14ac:dyDescent="0.25">
      <c r="A51" s="1"/>
      <c r="C51" s="12"/>
      <c r="D51" t="s">
        <v>22</v>
      </c>
      <c r="E51">
        <v>20.333333333333343</v>
      </c>
      <c r="F51">
        <v>2</v>
      </c>
      <c r="G51">
        <v>10.166666666666671</v>
      </c>
      <c r="J51" s="14"/>
      <c r="AD51" s="42" t="s">
        <v>86</v>
      </c>
      <c r="AE51" s="38">
        <v>100000</v>
      </c>
    </row>
    <row r="52" spans="1:31" x14ac:dyDescent="0.25">
      <c r="C52" s="12"/>
      <c r="J52" s="14"/>
      <c r="AD52" s="36" t="s">
        <v>89</v>
      </c>
      <c r="AE52" s="38">
        <v>105000</v>
      </c>
    </row>
    <row r="53" spans="1:31" ht="15.75" thickBot="1" x14ac:dyDescent="0.3">
      <c r="C53" s="12"/>
      <c r="D53" s="6" t="s">
        <v>18</v>
      </c>
      <c r="E53" s="6">
        <v>270.83333333333331</v>
      </c>
      <c r="F53" s="6">
        <v>5</v>
      </c>
      <c r="G53" s="6"/>
      <c r="H53" s="6"/>
      <c r="I53" s="6"/>
      <c r="J53" s="18"/>
      <c r="AD53" s="42" t="s">
        <v>82</v>
      </c>
      <c r="AE53" s="38">
        <v>30000</v>
      </c>
    </row>
    <row r="54" spans="1:31" x14ac:dyDescent="0.25">
      <c r="C54" s="12"/>
      <c r="J54" s="14"/>
      <c r="AD54" s="42" t="s">
        <v>79</v>
      </c>
      <c r="AE54" s="38">
        <v>30000</v>
      </c>
    </row>
    <row r="55" spans="1:31" x14ac:dyDescent="0.25">
      <c r="C55" s="12"/>
      <c r="J55" s="14"/>
      <c r="AD55" s="42" t="s">
        <v>86</v>
      </c>
      <c r="AE55" s="38">
        <v>45000</v>
      </c>
    </row>
    <row r="56" spans="1:31" ht="15.75" thickBot="1" x14ac:dyDescent="0.3">
      <c r="C56" s="12"/>
      <c r="D56" s="5" t="s">
        <v>42</v>
      </c>
      <c r="E56" s="2"/>
      <c r="F56" s="2"/>
      <c r="G56" s="2"/>
      <c r="H56" s="2"/>
      <c r="J56" s="14"/>
      <c r="AD56" s="36" t="s">
        <v>88</v>
      </c>
      <c r="AE56" s="38">
        <v>36000</v>
      </c>
    </row>
    <row r="57" spans="1:31" x14ac:dyDescent="0.25">
      <c r="C57" s="12"/>
      <c r="D57" s="7"/>
      <c r="E57" s="7" t="s">
        <v>38</v>
      </c>
      <c r="F57" s="7" t="s">
        <v>39</v>
      </c>
      <c r="J57" s="14"/>
      <c r="AD57" s="42" t="s">
        <v>75</v>
      </c>
      <c r="AE57" s="38">
        <v>18000</v>
      </c>
    </row>
    <row r="58" spans="1:31" x14ac:dyDescent="0.25">
      <c r="C58" s="12"/>
      <c r="D58" t="s">
        <v>38</v>
      </c>
      <c r="E58">
        <v>1</v>
      </c>
      <c r="J58" s="14"/>
      <c r="AD58" s="42" t="s">
        <v>86</v>
      </c>
      <c r="AE58" s="38">
        <v>18000</v>
      </c>
    </row>
    <row r="59" spans="1:31" ht="15.75" thickBot="1" x14ac:dyDescent="0.3">
      <c r="C59" s="12"/>
      <c r="D59" s="6" t="s">
        <v>39</v>
      </c>
      <c r="E59" s="6">
        <v>0.50452761318571859</v>
      </c>
      <c r="F59" s="6">
        <v>1</v>
      </c>
      <c r="J59" s="14"/>
      <c r="AD59" s="32" t="s">
        <v>93</v>
      </c>
      <c r="AE59" s="33">
        <v>1056000</v>
      </c>
    </row>
    <row r="60" spans="1:31" x14ac:dyDescent="0.25">
      <c r="C60" s="12"/>
      <c r="J60" s="14"/>
    </row>
    <row r="61" spans="1:31" ht="15.75" thickBot="1" x14ac:dyDescent="0.3">
      <c r="C61" s="12"/>
      <c r="D61" s="1" t="s">
        <v>23</v>
      </c>
      <c r="J61" s="14"/>
    </row>
    <row r="62" spans="1:31" x14ac:dyDescent="0.25">
      <c r="C62" s="12"/>
      <c r="D62" s="7"/>
      <c r="E62" s="7" t="s">
        <v>38</v>
      </c>
      <c r="F62" s="7" t="s">
        <v>39</v>
      </c>
      <c r="J62" s="14"/>
    </row>
    <row r="63" spans="1:31" x14ac:dyDescent="0.25">
      <c r="C63" s="12"/>
      <c r="D63" t="s">
        <v>38</v>
      </c>
      <c r="E63">
        <f>VARP(Sheet1!$E$7:$E$15)</f>
        <v>15.209876543209877</v>
      </c>
      <c r="G63" s="2"/>
      <c r="H63" s="2"/>
      <c r="I63" s="2"/>
      <c r="J63" s="19"/>
    </row>
    <row r="64" spans="1:31" ht="15.75" thickBot="1" x14ac:dyDescent="0.3">
      <c r="A64" s="1"/>
      <c r="C64" s="12"/>
      <c r="D64" s="6" t="s">
        <v>39</v>
      </c>
      <c r="E64" s="6">
        <v>6.1604938271604928</v>
      </c>
      <c r="F64" s="6">
        <f>VARP(Sheet1!$F$7:$F$15)</f>
        <v>9.80246913580247</v>
      </c>
      <c r="J64" s="14"/>
    </row>
    <row r="65" spans="3:36" x14ac:dyDescent="0.25">
      <c r="C65" s="12"/>
      <c r="J65" s="14"/>
    </row>
    <row r="66" spans="3:36" ht="15.75" thickBot="1" x14ac:dyDescent="0.3">
      <c r="C66" s="12"/>
      <c r="D66" s="1" t="s">
        <v>35</v>
      </c>
      <c r="J66" s="14"/>
    </row>
    <row r="67" spans="3:36" x14ac:dyDescent="0.25">
      <c r="C67" s="12"/>
      <c r="D67" s="7" t="s">
        <v>38</v>
      </c>
      <c r="E67" s="7"/>
      <c r="F67" s="7" t="s">
        <v>39</v>
      </c>
      <c r="G67" s="7"/>
      <c r="J67" s="14"/>
    </row>
    <row r="68" spans="3:36" x14ac:dyDescent="0.25">
      <c r="C68" s="12"/>
      <c r="J68" s="14"/>
    </row>
    <row r="69" spans="3:36" ht="30" x14ac:dyDescent="0.25">
      <c r="C69" s="12"/>
      <c r="D69" t="s">
        <v>24</v>
      </c>
      <c r="E69">
        <v>75.111111111111114</v>
      </c>
      <c r="F69" t="s">
        <v>24</v>
      </c>
      <c r="G69">
        <v>86.555555555555557</v>
      </c>
      <c r="J69" s="14"/>
      <c r="V69" s="3" t="s">
        <v>95</v>
      </c>
      <c r="W69" s="3" t="s">
        <v>96</v>
      </c>
      <c r="X69" s="3" t="s">
        <v>97</v>
      </c>
      <c r="Y69" s="3" t="s">
        <v>98</v>
      </c>
      <c r="Z69" s="3" t="s">
        <v>99</v>
      </c>
      <c r="AA69" s="3" t="s">
        <v>36</v>
      </c>
      <c r="AB69" s="3" t="s">
        <v>100</v>
      </c>
      <c r="AC69" s="3" t="s">
        <v>101</v>
      </c>
      <c r="AD69" s="3" t="s">
        <v>102</v>
      </c>
      <c r="AE69" s="3" t="s">
        <v>103</v>
      </c>
      <c r="AF69" s="3" t="s">
        <v>104</v>
      </c>
      <c r="AG69" s="3" t="s">
        <v>180</v>
      </c>
      <c r="AH69" s="3" t="s">
        <v>181</v>
      </c>
      <c r="AI69" s="30"/>
      <c r="AJ69" s="30"/>
    </row>
    <row r="70" spans="3:36" ht="30" x14ac:dyDescent="0.25">
      <c r="C70" s="12"/>
      <c r="D70" t="s">
        <v>25</v>
      </c>
      <c r="E70">
        <v>1.3788526273323172</v>
      </c>
      <c r="F70" t="s">
        <v>25</v>
      </c>
      <c r="G70">
        <v>1.1069366025095153</v>
      </c>
      <c r="J70" s="14"/>
      <c r="V70" s="4" t="s">
        <v>105</v>
      </c>
      <c r="W70" s="4" t="s">
        <v>106</v>
      </c>
      <c r="X70" s="4" t="s">
        <v>38</v>
      </c>
      <c r="Y70" s="4">
        <v>28</v>
      </c>
      <c r="Z70" s="4" t="s">
        <v>107</v>
      </c>
      <c r="AA70" s="45" t="s">
        <v>108</v>
      </c>
      <c r="AB70" s="4" t="s">
        <v>109</v>
      </c>
      <c r="AC70" s="4">
        <v>55000</v>
      </c>
      <c r="AD70" s="4">
        <v>1</v>
      </c>
      <c r="AE70" s="4" t="s">
        <v>110</v>
      </c>
      <c r="AF70" s="4">
        <v>2022</v>
      </c>
      <c r="AG70" s="30">
        <f t="shared" ref="AG70:AG89" si="0">AC70/AD70</f>
        <v>55000</v>
      </c>
      <c r="AH70" s="43" t="s">
        <v>96</v>
      </c>
      <c r="AI70" s="43" t="s">
        <v>186</v>
      </c>
      <c r="AJ70" s="43" t="s">
        <v>182</v>
      </c>
    </row>
    <row r="71" spans="3:36" ht="45" x14ac:dyDescent="0.25">
      <c r="C71" s="12"/>
      <c r="D71" t="s">
        <v>26</v>
      </c>
      <c r="E71">
        <v>75</v>
      </c>
      <c r="F71" t="s">
        <v>26</v>
      </c>
      <c r="G71">
        <v>87</v>
      </c>
      <c r="H71" s="5"/>
      <c r="I71" s="5"/>
      <c r="J71" s="20"/>
      <c r="V71" s="4" t="s">
        <v>111</v>
      </c>
      <c r="W71" s="4" t="s">
        <v>112</v>
      </c>
      <c r="X71" s="4" t="s">
        <v>39</v>
      </c>
      <c r="Y71" s="4">
        <v>31</v>
      </c>
      <c r="Z71" s="4" t="s">
        <v>113</v>
      </c>
      <c r="AA71" s="45" t="s">
        <v>114</v>
      </c>
      <c r="AB71" s="4" t="s">
        <v>115</v>
      </c>
      <c r="AC71" s="4">
        <v>48000</v>
      </c>
      <c r="AD71" s="4">
        <v>6</v>
      </c>
      <c r="AE71" s="4" t="s">
        <v>116</v>
      </c>
      <c r="AF71" s="4">
        <v>2019</v>
      </c>
      <c r="AG71" s="30">
        <f t="shared" si="0"/>
        <v>8000</v>
      </c>
      <c r="AH71" s="30" t="s">
        <v>183</v>
      </c>
      <c r="AI71" s="30" t="s">
        <v>184</v>
      </c>
      <c r="AJ71" s="30" t="s">
        <v>185</v>
      </c>
    </row>
    <row r="72" spans="3:36" ht="30" x14ac:dyDescent="0.25">
      <c r="C72" s="12"/>
      <c r="D72" t="s">
        <v>27</v>
      </c>
      <c r="E72" t="e">
        <v>#N/A</v>
      </c>
      <c r="F72" t="s">
        <v>27</v>
      </c>
      <c r="G72">
        <v>85</v>
      </c>
      <c r="J72" s="14"/>
      <c r="V72" s="4" t="s">
        <v>117</v>
      </c>
      <c r="W72" s="4" t="s">
        <v>118</v>
      </c>
      <c r="X72" s="4" t="s">
        <v>38</v>
      </c>
      <c r="Y72" s="4">
        <v>35</v>
      </c>
      <c r="Z72" s="4" t="s">
        <v>119</v>
      </c>
      <c r="AA72" s="45" t="s">
        <v>120</v>
      </c>
      <c r="AB72" s="4" t="s">
        <v>121</v>
      </c>
      <c r="AC72" s="4">
        <v>62000</v>
      </c>
      <c r="AD72" s="4">
        <v>10</v>
      </c>
      <c r="AE72" s="4" t="s">
        <v>110</v>
      </c>
      <c r="AF72" s="4">
        <v>2016</v>
      </c>
      <c r="AG72" s="30">
        <f t="shared" si="0"/>
        <v>6200</v>
      </c>
      <c r="AH72" s="30"/>
      <c r="AI72" s="30"/>
      <c r="AJ72" s="30"/>
    </row>
    <row r="73" spans="3:36" ht="45" x14ac:dyDescent="0.25">
      <c r="C73" s="12"/>
      <c r="D73" t="s">
        <v>28</v>
      </c>
      <c r="E73">
        <v>4.1365578819969517</v>
      </c>
      <c r="F73" t="s">
        <v>28</v>
      </c>
      <c r="G73">
        <v>3.3208098075285459</v>
      </c>
      <c r="J73" s="14"/>
      <c r="V73" s="4" t="s">
        <v>122</v>
      </c>
      <c r="W73" s="4" t="s">
        <v>123</v>
      </c>
      <c r="X73" s="4" t="s">
        <v>39</v>
      </c>
      <c r="Y73" s="4">
        <v>27</v>
      </c>
      <c r="Z73" s="4" t="s">
        <v>124</v>
      </c>
      <c r="AA73" s="45" t="s">
        <v>125</v>
      </c>
      <c r="AB73" s="4" t="s">
        <v>126</v>
      </c>
      <c r="AC73" s="4">
        <v>50000</v>
      </c>
      <c r="AD73" s="4">
        <v>0</v>
      </c>
      <c r="AE73" s="4" t="s">
        <v>116</v>
      </c>
      <c r="AF73" s="4">
        <v>2023</v>
      </c>
      <c r="AG73" s="30" t="e">
        <f t="shared" si="0"/>
        <v>#DIV/0!</v>
      </c>
      <c r="AH73" s="30"/>
      <c r="AI73" s="43" t="s">
        <v>187</v>
      </c>
      <c r="AJ73" s="30"/>
    </row>
    <row r="74" spans="3:36" ht="60" x14ac:dyDescent="0.25">
      <c r="C74" s="12"/>
      <c r="D74" t="s">
        <v>29</v>
      </c>
      <c r="E74">
        <v>17.111111111111111</v>
      </c>
      <c r="F74" t="s">
        <v>29</v>
      </c>
      <c r="G74">
        <v>11.027777777777779</v>
      </c>
      <c r="J74" s="14"/>
      <c r="V74" s="4" t="s">
        <v>127</v>
      </c>
      <c r="W74" s="4" t="s">
        <v>128</v>
      </c>
      <c r="X74" s="4" t="s">
        <v>38</v>
      </c>
      <c r="Y74" s="4">
        <v>40</v>
      </c>
      <c r="Z74" s="4" t="s">
        <v>129</v>
      </c>
      <c r="AA74" s="4" t="s">
        <v>74</v>
      </c>
      <c r="AB74" s="4" t="s">
        <v>130</v>
      </c>
      <c r="AC74" s="4">
        <v>85000</v>
      </c>
      <c r="AD74" s="4">
        <v>15</v>
      </c>
      <c r="AE74" s="4" t="s">
        <v>110</v>
      </c>
      <c r="AF74" s="4">
        <v>2011</v>
      </c>
      <c r="AG74" s="30">
        <f t="shared" si="0"/>
        <v>5666.666666666667</v>
      </c>
      <c r="AH74" s="30"/>
      <c r="AI74" s="44" t="s">
        <v>188</v>
      </c>
      <c r="AJ74" s="30"/>
    </row>
    <row r="75" spans="3:36" ht="30" x14ac:dyDescent="0.25">
      <c r="C75" s="12"/>
      <c r="D75" t="s">
        <v>30</v>
      </c>
      <c r="E75">
        <v>-0.6131755535744392</v>
      </c>
      <c r="F75" t="s">
        <v>30</v>
      </c>
      <c r="G75">
        <v>-0.83772228380721447</v>
      </c>
      <c r="J75" s="14"/>
      <c r="V75" s="4" t="s">
        <v>131</v>
      </c>
      <c r="W75" s="4" t="s">
        <v>132</v>
      </c>
      <c r="X75" s="4" t="s">
        <v>39</v>
      </c>
      <c r="Y75" s="4">
        <v>29</v>
      </c>
      <c r="Z75" s="4" t="s">
        <v>107</v>
      </c>
      <c r="AA75" s="4" t="s">
        <v>108</v>
      </c>
      <c r="AB75" s="4" t="s">
        <v>133</v>
      </c>
      <c r="AC75" s="4">
        <v>60000</v>
      </c>
      <c r="AD75" s="4">
        <v>5</v>
      </c>
      <c r="AE75" s="4" t="s">
        <v>110</v>
      </c>
      <c r="AF75" s="4">
        <v>2020</v>
      </c>
      <c r="AG75" s="30">
        <f t="shared" si="0"/>
        <v>12000</v>
      </c>
      <c r="AH75" s="30"/>
      <c r="AI75" s="30"/>
      <c r="AJ75" s="30"/>
    </row>
    <row r="76" spans="3:36" ht="60" x14ac:dyDescent="0.25">
      <c r="C76" s="12"/>
      <c r="D76" t="s">
        <v>31</v>
      </c>
      <c r="E76">
        <v>0.18473005564449813</v>
      </c>
      <c r="F76" t="s">
        <v>31</v>
      </c>
      <c r="G76">
        <v>-0.34046590790153464</v>
      </c>
      <c r="J76" s="14"/>
      <c r="V76" s="4" t="s">
        <v>134</v>
      </c>
      <c r="W76" s="4" t="s">
        <v>135</v>
      </c>
      <c r="X76" s="4" t="s">
        <v>38</v>
      </c>
      <c r="Y76" s="4">
        <v>25</v>
      </c>
      <c r="Z76" s="4" t="s">
        <v>136</v>
      </c>
      <c r="AA76" s="4" t="s">
        <v>137</v>
      </c>
      <c r="AB76" s="4" t="s">
        <v>138</v>
      </c>
      <c r="AC76" s="4">
        <v>52000</v>
      </c>
      <c r="AD76" s="4">
        <v>7</v>
      </c>
      <c r="AE76" s="4" t="s">
        <v>6</v>
      </c>
      <c r="AF76" s="4">
        <v>2018</v>
      </c>
      <c r="AG76" s="30">
        <f t="shared" si="0"/>
        <v>7428.5714285714284</v>
      </c>
      <c r="AH76" s="30"/>
      <c r="AI76" s="30"/>
      <c r="AJ76" s="30"/>
    </row>
    <row r="77" spans="3:36" x14ac:dyDescent="0.25">
      <c r="C77" s="12"/>
      <c r="D77" t="s">
        <v>32</v>
      </c>
      <c r="E77">
        <v>13</v>
      </c>
      <c r="F77" t="s">
        <v>32</v>
      </c>
      <c r="G77">
        <v>10</v>
      </c>
      <c r="J77" s="14"/>
      <c r="V77" s="4" t="s">
        <v>139</v>
      </c>
      <c r="W77" s="4" t="s">
        <v>140</v>
      </c>
      <c r="X77" s="4" t="s">
        <v>39</v>
      </c>
      <c r="Y77" s="4">
        <v>26</v>
      </c>
      <c r="Z77" s="4" t="s">
        <v>113</v>
      </c>
      <c r="AA77" s="4" t="s">
        <v>108</v>
      </c>
      <c r="AB77" s="4" t="s">
        <v>141</v>
      </c>
      <c r="AC77" s="4">
        <v>45000</v>
      </c>
      <c r="AD77" s="4">
        <v>2</v>
      </c>
      <c r="AE77" s="4" t="s">
        <v>116</v>
      </c>
      <c r="AF77" s="4">
        <v>2024</v>
      </c>
      <c r="AG77" s="30">
        <f t="shared" si="0"/>
        <v>22500</v>
      </c>
      <c r="AH77" s="30"/>
      <c r="AI77" s="30"/>
      <c r="AJ77" s="30"/>
    </row>
    <row r="78" spans="3:36" ht="30" x14ac:dyDescent="0.25">
      <c r="C78" s="12"/>
      <c r="D78" t="s">
        <v>33</v>
      </c>
      <c r="E78">
        <v>69</v>
      </c>
      <c r="F78" t="s">
        <v>33</v>
      </c>
      <c r="G78">
        <v>81</v>
      </c>
      <c r="J78" s="14"/>
      <c r="V78" s="4" t="s">
        <v>142</v>
      </c>
      <c r="W78" s="4" t="s">
        <v>143</v>
      </c>
      <c r="X78" s="4" t="s">
        <v>38</v>
      </c>
      <c r="Y78" s="4">
        <v>38</v>
      </c>
      <c r="Z78" s="4" t="s">
        <v>144</v>
      </c>
      <c r="AA78" s="4" t="s">
        <v>120</v>
      </c>
      <c r="AB78" s="4" t="s">
        <v>145</v>
      </c>
      <c r="AC78" s="4">
        <v>70000</v>
      </c>
      <c r="AD78" s="4">
        <v>12</v>
      </c>
      <c r="AE78" s="4" t="s">
        <v>110</v>
      </c>
      <c r="AF78" s="4">
        <v>2014</v>
      </c>
      <c r="AG78" s="30">
        <f t="shared" si="0"/>
        <v>5833.333333333333</v>
      </c>
      <c r="AH78" s="30"/>
      <c r="AI78" s="30"/>
      <c r="AJ78" s="30"/>
    </row>
    <row r="79" spans="3:36" ht="60" x14ac:dyDescent="0.25">
      <c r="C79" s="12"/>
      <c r="D79" t="s">
        <v>34</v>
      </c>
      <c r="E79">
        <v>82</v>
      </c>
      <c r="F79" t="s">
        <v>34</v>
      </c>
      <c r="G79">
        <v>91</v>
      </c>
      <c r="J79" s="14"/>
      <c r="V79" s="4" t="s">
        <v>146</v>
      </c>
      <c r="W79" s="4" t="s">
        <v>147</v>
      </c>
      <c r="X79" s="4" t="s">
        <v>39</v>
      </c>
      <c r="Y79" s="4">
        <v>30</v>
      </c>
      <c r="Z79" s="4" t="s">
        <v>119</v>
      </c>
      <c r="AA79" s="4" t="s">
        <v>114</v>
      </c>
      <c r="AB79" s="4" t="s">
        <v>148</v>
      </c>
      <c r="AC79" s="4">
        <v>50000</v>
      </c>
      <c r="AD79" s="4">
        <v>5</v>
      </c>
      <c r="AE79" s="4" t="s">
        <v>116</v>
      </c>
      <c r="AF79" s="4">
        <v>2020</v>
      </c>
      <c r="AG79" s="30">
        <f t="shared" si="0"/>
        <v>10000</v>
      </c>
      <c r="AH79" s="30"/>
      <c r="AI79" s="30"/>
      <c r="AJ79" s="30"/>
    </row>
    <row r="80" spans="3:36" ht="30" x14ac:dyDescent="0.25">
      <c r="C80" s="12"/>
      <c r="D80" t="s">
        <v>5</v>
      </c>
      <c r="E80">
        <v>676</v>
      </c>
      <c r="F80" t="s">
        <v>5</v>
      </c>
      <c r="G80">
        <v>779</v>
      </c>
      <c r="J80" s="14"/>
      <c r="V80" s="4" t="s">
        <v>149</v>
      </c>
      <c r="W80" s="4" t="s">
        <v>150</v>
      </c>
      <c r="X80" s="4" t="s">
        <v>38</v>
      </c>
      <c r="Y80" s="4">
        <v>20</v>
      </c>
      <c r="Z80" s="4" t="s">
        <v>107</v>
      </c>
      <c r="AA80" s="4" t="s">
        <v>74</v>
      </c>
      <c r="AB80" s="4" t="s">
        <v>151</v>
      </c>
      <c r="AC80" s="4">
        <v>95000</v>
      </c>
      <c r="AD80" s="4">
        <v>18</v>
      </c>
      <c r="AE80" s="4" t="s">
        <v>110</v>
      </c>
      <c r="AF80" s="4">
        <v>2008</v>
      </c>
      <c r="AG80" s="30">
        <f t="shared" si="0"/>
        <v>5277.7777777777774</v>
      </c>
      <c r="AH80" s="30"/>
      <c r="AI80" s="30"/>
      <c r="AJ80" s="30"/>
    </row>
    <row r="81" spans="3:36" ht="45" x14ac:dyDescent="0.25">
      <c r="C81" s="12"/>
      <c r="D81" t="s">
        <v>4</v>
      </c>
      <c r="E81">
        <v>9</v>
      </c>
      <c r="F81" t="s">
        <v>4</v>
      </c>
      <c r="G81">
        <v>9</v>
      </c>
      <c r="H81" s="5"/>
      <c r="J81" s="14"/>
      <c r="V81" s="4" t="s">
        <v>152</v>
      </c>
      <c r="W81" s="4" t="s">
        <v>153</v>
      </c>
      <c r="X81" s="4" t="s">
        <v>39</v>
      </c>
      <c r="Y81" s="4">
        <v>25</v>
      </c>
      <c r="Z81" s="4" t="s">
        <v>136</v>
      </c>
      <c r="AA81" s="4" t="s">
        <v>125</v>
      </c>
      <c r="AB81" s="4" t="s">
        <v>154</v>
      </c>
      <c r="AC81" s="4">
        <v>42000</v>
      </c>
      <c r="AD81" s="4">
        <v>0</v>
      </c>
      <c r="AE81" s="4" t="s">
        <v>6</v>
      </c>
      <c r="AF81" s="4">
        <v>2025</v>
      </c>
      <c r="AG81" s="30" t="e">
        <f t="shared" si="0"/>
        <v>#DIV/0!</v>
      </c>
      <c r="AH81" s="30"/>
      <c r="AI81" s="30"/>
      <c r="AJ81" s="30"/>
    </row>
    <row r="82" spans="3:36" ht="45" x14ac:dyDescent="0.25">
      <c r="C82" s="12"/>
      <c r="D82" t="s">
        <v>43</v>
      </c>
      <c r="E82">
        <v>82</v>
      </c>
      <c r="F82" t="s">
        <v>43</v>
      </c>
      <c r="G82">
        <v>91</v>
      </c>
      <c r="J82" s="14"/>
      <c r="V82" s="4" t="s">
        <v>155</v>
      </c>
      <c r="W82" s="4" t="s">
        <v>156</v>
      </c>
      <c r="X82" s="4" t="s">
        <v>38</v>
      </c>
      <c r="Y82" s="4">
        <v>33</v>
      </c>
      <c r="Z82" s="4" t="s">
        <v>113</v>
      </c>
      <c r="AA82" s="4" t="s">
        <v>108</v>
      </c>
      <c r="AB82" s="4" t="s">
        <v>157</v>
      </c>
      <c r="AC82" s="4">
        <v>65000</v>
      </c>
      <c r="AD82" s="4">
        <v>8</v>
      </c>
      <c r="AE82" s="4" t="s">
        <v>116</v>
      </c>
      <c r="AF82" s="4">
        <v>2017</v>
      </c>
      <c r="AG82" s="30">
        <f t="shared" si="0"/>
        <v>8125</v>
      </c>
      <c r="AH82" s="30"/>
      <c r="AI82" s="30"/>
      <c r="AJ82" s="30"/>
    </row>
    <row r="83" spans="3:36" ht="45" x14ac:dyDescent="0.25">
      <c r="C83" s="12"/>
      <c r="D83" t="s">
        <v>44</v>
      </c>
      <c r="E83">
        <v>69</v>
      </c>
      <c r="F83" t="s">
        <v>44</v>
      </c>
      <c r="G83">
        <v>81</v>
      </c>
      <c r="J83" s="14"/>
      <c r="V83" s="4" t="s">
        <v>158</v>
      </c>
      <c r="W83" s="4" t="s">
        <v>159</v>
      </c>
      <c r="X83" s="4" t="s">
        <v>39</v>
      </c>
      <c r="Y83" s="4">
        <v>36</v>
      </c>
      <c r="Z83" s="4" t="s">
        <v>160</v>
      </c>
      <c r="AA83" s="4" t="s">
        <v>120</v>
      </c>
      <c r="AB83" s="4" t="s">
        <v>161</v>
      </c>
      <c r="AC83" s="4">
        <v>75000</v>
      </c>
      <c r="AD83" s="4">
        <v>11</v>
      </c>
      <c r="AE83" s="4" t="s">
        <v>110</v>
      </c>
      <c r="AF83" s="4">
        <v>2015</v>
      </c>
      <c r="AG83" s="30">
        <f t="shared" si="0"/>
        <v>6818.181818181818</v>
      </c>
      <c r="AH83" s="30"/>
      <c r="AI83" s="30"/>
      <c r="AJ83" s="30"/>
    </row>
    <row r="84" spans="3:36" ht="30.75" thickBot="1" x14ac:dyDescent="0.3">
      <c r="C84" s="12"/>
      <c r="D84" s="6" t="s">
        <v>45</v>
      </c>
      <c r="E84" s="6">
        <v>3.1796398604654525</v>
      </c>
      <c r="F84" s="6" t="s">
        <v>45</v>
      </c>
      <c r="G84" s="6">
        <v>2.5526003827957928</v>
      </c>
      <c r="J84" s="14"/>
      <c r="V84" s="4" t="s">
        <v>162</v>
      </c>
      <c r="W84" s="4" t="s">
        <v>163</v>
      </c>
      <c r="X84" s="4" t="s">
        <v>38</v>
      </c>
      <c r="Y84" s="4">
        <v>29</v>
      </c>
      <c r="Z84" s="4" t="s">
        <v>129</v>
      </c>
      <c r="AA84" s="4" t="s">
        <v>137</v>
      </c>
      <c r="AB84" s="4" t="s">
        <v>164</v>
      </c>
      <c r="AC84" s="4">
        <v>68000</v>
      </c>
      <c r="AD84" s="4">
        <v>6</v>
      </c>
      <c r="AE84" s="4" t="s">
        <v>116</v>
      </c>
      <c r="AF84" s="4">
        <v>2019</v>
      </c>
      <c r="AG84" s="30">
        <f t="shared" si="0"/>
        <v>11333.333333333334</v>
      </c>
      <c r="AH84" s="30"/>
      <c r="AI84" s="30"/>
      <c r="AJ84" s="30"/>
    </row>
    <row r="85" spans="3:36" ht="30" x14ac:dyDescent="0.25">
      <c r="C85" s="12"/>
      <c r="J85" s="14"/>
      <c r="V85" s="4" t="s">
        <v>165</v>
      </c>
      <c r="W85" s="4" t="s">
        <v>166</v>
      </c>
      <c r="X85" s="4" t="s">
        <v>39</v>
      </c>
      <c r="Y85" s="4">
        <v>34</v>
      </c>
      <c r="Z85" s="4" t="s">
        <v>124</v>
      </c>
      <c r="AA85" s="4" t="s">
        <v>114</v>
      </c>
      <c r="AB85" s="4" t="s">
        <v>167</v>
      </c>
      <c r="AC85" s="4">
        <v>78000</v>
      </c>
      <c r="AD85" s="4">
        <v>9</v>
      </c>
      <c r="AE85" s="4" t="s">
        <v>110</v>
      </c>
      <c r="AF85" s="4">
        <v>2017</v>
      </c>
      <c r="AG85" s="30">
        <f t="shared" si="0"/>
        <v>8666.6666666666661</v>
      </c>
      <c r="AH85" s="30"/>
      <c r="AI85" s="30"/>
      <c r="AJ85" s="30"/>
    </row>
    <row r="86" spans="3:36" ht="45" x14ac:dyDescent="0.25">
      <c r="C86" s="12"/>
      <c r="J86" s="14"/>
      <c r="V86" s="4" t="s">
        <v>168</v>
      </c>
      <c r="W86" s="4" t="s">
        <v>169</v>
      </c>
      <c r="X86" s="4" t="s">
        <v>38</v>
      </c>
      <c r="Y86" s="4">
        <v>24</v>
      </c>
      <c r="Z86" s="4" t="s">
        <v>119</v>
      </c>
      <c r="AA86" s="4" t="s">
        <v>108</v>
      </c>
      <c r="AB86" s="4" t="s">
        <v>170</v>
      </c>
      <c r="AC86" s="4">
        <v>40000</v>
      </c>
      <c r="AD86" s="4">
        <v>0</v>
      </c>
      <c r="AE86" s="4" t="s">
        <v>6</v>
      </c>
      <c r="AF86" s="4">
        <v>2025</v>
      </c>
      <c r="AG86" s="30" t="e">
        <f t="shared" si="0"/>
        <v>#DIV/0!</v>
      </c>
      <c r="AH86" s="30"/>
      <c r="AI86" s="30"/>
      <c r="AJ86" s="30"/>
    </row>
    <row r="87" spans="3:36" ht="45" x14ac:dyDescent="0.25">
      <c r="C87" s="12"/>
      <c r="D87" s="1" t="s">
        <v>46</v>
      </c>
      <c r="J87" s="14"/>
      <c r="V87" s="4" t="s">
        <v>171</v>
      </c>
      <c r="W87" s="4" t="s">
        <v>172</v>
      </c>
      <c r="X87" s="4" t="s">
        <v>39</v>
      </c>
      <c r="Y87" s="4">
        <v>37</v>
      </c>
      <c r="Z87" s="4" t="s">
        <v>107</v>
      </c>
      <c r="AA87" s="4" t="s">
        <v>74</v>
      </c>
      <c r="AB87" s="4" t="s">
        <v>173</v>
      </c>
      <c r="AC87" s="4">
        <v>72000</v>
      </c>
      <c r="AD87" s="4">
        <v>13</v>
      </c>
      <c r="AE87" s="4" t="s">
        <v>116</v>
      </c>
      <c r="AF87" s="4">
        <v>2013</v>
      </c>
      <c r="AG87" s="30">
        <f t="shared" si="0"/>
        <v>5538.4615384615381</v>
      </c>
      <c r="AH87" s="30"/>
      <c r="AI87" s="30"/>
      <c r="AJ87" s="30"/>
    </row>
    <row r="88" spans="3:36" ht="45" x14ac:dyDescent="0.25">
      <c r="C88" s="12"/>
      <c r="J88" s="14"/>
      <c r="V88" s="4" t="s">
        <v>174</v>
      </c>
      <c r="W88" s="4" t="s">
        <v>175</v>
      </c>
      <c r="X88" s="4" t="s">
        <v>38</v>
      </c>
      <c r="Y88" s="4">
        <v>41</v>
      </c>
      <c r="Z88" s="4" t="s">
        <v>113</v>
      </c>
      <c r="AA88" s="4" t="s">
        <v>137</v>
      </c>
      <c r="AB88" s="4" t="s">
        <v>176</v>
      </c>
      <c r="AC88" s="4">
        <v>88000</v>
      </c>
      <c r="AD88" s="4">
        <v>16</v>
      </c>
      <c r="AE88" s="4" t="s">
        <v>110</v>
      </c>
      <c r="AF88" s="4">
        <v>2010</v>
      </c>
      <c r="AG88" s="30">
        <f t="shared" si="0"/>
        <v>5500</v>
      </c>
      <c r="AH88" s="30"/>
      <c r="AI88" s="30"/>
      <c r="AJ88" s="30"/>
    </row>
    <row r="89" spans="3:36" ht="30" x14ac:dyDescent="0.25">
      <c r="C89" s="12"/>
      <c r="D89" t="s">
        <v>2</v>
      </c>
      <c r="E89" t="s">
        <v>38</v>
      </c>
      <c r="F89" t="s">
        <v>39</v>
      </c>
      <c r="G89" t="s">
        <v>18</v>
      </c>
      <c r="J89" s="14"/>
      <c r="V89" s="4" t="s">
        <v>177</v>
      </c>
      <c r="W89" s="4" t="s">
        <v>178</v>
      </c>
      <c r="X89" s="4" t="s">
        <v>39</v>
      </c>
      <c r="Y89" s="4">
        <v>28</v>
      </c>
      <c r="Z89" s="4" t="s">
        <v>119</v>
      </c>
      <c r="AA89" s="4" t="s">
        <v>125</v>
      </c>
      <c r="AB89" s="4" t="s">
        <v>179</v>
      </c>
      <c r="AC89" s="4">
        <v>53000</v>
      </c>
      <c r="AD89" s="4">
        <v>4</v>
      </c>
      <c r="AE89" s="4" t="s">
        <v>116</v>
      </c>
      <c r="AF89" s="4">
        <v>2021</v>
      </c>
      <c r="AG89" s="30">
        <f t="shared" si="0"/>
        <v>13250</v>
      </c>
      <c r="AH89" s="30"/>
      <c r="AI89" s="30"/>
      <c r="AJ89" s="30"/>
    </row>
    <row r="90" spans="3:36" ht="15.75" thickBot="1" x14ac:dyDescent="0.3">
      <c r="C90" s="12"/>
      <c r="D90" s="8" t="s">
        <v>37</v>
      </c>
      <c r="E90" s="8"/>
      <c r="F90" s="8"/>
      <c r="G90" s="8"/>
      <c r="J90" s="14"/>
    </row>
    <row r="91" spans="3:36" x14ac:dyDescent="0.25">
      <c r="C91" s="12"/>
      <c r="D91" t="s">
        <v>4</v>
      </c>
      <c r="E91">
        <v>9</v>
      </c>
      <c r="F91">
        <v>9</v>
      </c>
      <c r="G91">
        <v>18</v>
      </c>
      <c r="J91" s="14"/>
    </row>
    <row r="92" spans="3:36" x14ac:dyDescent="0.25">
      <c r="C92" s="12"/>
      <c r="D92" t="s">
        <v>5</v>
      </c>
      <c r="E92">
        <v>676</v>
      </c>
      <c r="F92">
        <v>779</v>
      </c>
      <c r="G92">
        <v>1455</v>
      </c>
      <c r="J92" s="14"/>
    </row>
    <row r="93" spans="3:36" x14ac:dyDescent="0.25">
      <c r="C93" s="12"/>
      <c r="D93" t="s">
        <v>6</v>
      </c>
      <c r="E93">
        <v>75.111111111111114</v>
      </c>
      <c r="F93">
        <v>86.555555555555557</v>
      </c>
      <c r="G93">
        <v>80.833333333333329</v>
      </c>
      <c r="J93" s="14"/>
    </row>
    <row r="94" spans="3:36" x14ac:dyDescent="0.25">
      <c r="C94" s="12"/>
      <c r="D94" t="s">
        <v>7</v>
      </c>
      <c r="E94">
        <v>17.111111111111111</v>
      </c>
      <c r="F94">
        <v>11.027777777777779</v>
      </c>
      <c r="G94">
        <v>47.911764705882362</v>
      </c>
      <c r="J94" s="14"/>
    </row>
    <row r="95" spans="3:36" x14ac:dyDescent="0.25">
      <c r="C95" s="12"/>
      <c r="J95" s="14"/>
    </row>
    <row r="96" spans="3:36" ht="15.75" thickBot="1" x14ac:dyDescent="0.3">
      <c r="C96" s="12"/>
      <c r="D96" s="8" t="s">
        <v>18</v>
      </c>
      <c r="E96" s="8"/>
      <c r="F96" s="8"/>
      <c r="J96" s="14"/>
    </row>
    <row r="97" spans="3:39" x14ac:dyDescent="0.25">
      <c r="C97" s="12"/>
      <c r="D97" t="s">
        <v>4</v>
      </c>
      <c r="E97">
        <v>9</v>
      </c>
      <c r="F97">
        <v>9</v>
      </c>
      <c r="J97" s="14"/>
    </row>
    <row r="98" spans="3:39" x14ac:dyDescent="0.25">
      <c r="C98" s="12"/>
      <c r="D98" t="s">
        <v>5</v>
      </c>
      <c r="E98">
        <v>676</v>
      </c>
      <c r="F98">
        <v>779</v>
      </c>
      <c r="J98" s="14"/>
    </row>
    <row r="99" spans="3:39" x14ac:dyDescent="0.25">
      <c r="C99" s="12"/>
      <c r="D99" t="s">
        <v>6</v>
      </c>
      <c r="E99">
        <v>75.111111111111114</v>
      </c>
      <c r="F99">
        <v>86.555555555555557</v>
      </c>
      <c r="J99" s="14"/>
    </row>
    <row r="100" spans="3:39" x14ac:dyDescent="0.25">
      <c r="C100" s="12"/>
      <c r="D100" t="s">
        <v>7</v>
      </c>
      <c r="E100">
        <v>17.111111111111111</v>
      </c>
      <c r="F100">
        <v>11.027777777777779</v>
      </c>
      <c r="J100" s="14"/>
    </row>
    <row r="101" spans="3:39" x14ac:dyDescent="0.25">
      <c r="C101" s="12"/>
      <c r="J101" s="14"/>
    </row>
    <row r="102" spans="3:39" x14ac:dyDescent="0.25">
      <c r="C102" s="12"/>
      <c r="J102" s="14"/>
    </row>
    <row r="103" spans="3:39" ht="15.75" thickBot="1" x14ac:dyDescent="0.3">
      <c r="C103" s="12"/>
      <c r="D103" t="s">
        <v>8</v>
      </c>
      <c r="J103" s="14"/>
    </row>
    <row r="104" spans="3:39" x14ac:dyDescent="0.25">
      <c r="C104" s="12"/>
      <c r="D104" s="7" t="s">
        <v>9</v>
      </c>
      <c r="E104" s="7" t="s">
        <v>10</v>
      </c>
      <c r="F104" s="7" t="s">
        <v>11</v>
      </c>
      <c r="G104" s="7" t="s">
        <v>12</v>
      </c>
      <c r="H104" s="7" t="s">
        <v>13</v>
      </c>
      <c r="I104" s="7" t="s">
        <v>14</v>
      </c>
      <c r="J104" s="17" t="s">
        <v>15</v>
      </c>
    </row>
    <row r="105" spans="3:39" x14ac:dyDescent="0.25">
      <c r="C105" s="12"/>
      <c r="D105" t="s">
        <v>47</v>
      </c>
      <c r="E105">
        <v>0</v>
      </c>
      <c r="F105">
        <v>0</v>
      </c>
      <c r="G105">
        <v>65535</v>
      </c>
      <c r="H105">
        <v>65535</v>
      </c>
      <c r="I105" t="e">
        <v>#NUM!</v>
      </c>
      <c r="J105" s="14" t="e">
        <v>#NUM!</v>
      </c>
    </row>
    <row r="106" spans="3:39" x14ac:dyDescent="0.25">
      <c r="C106" s="12"/>
      <c r="D106" t="s">
        <v>21</v>
      </c>
      <c r="E106">
        <v>589.38888888888903</v>
      </c>
      <c r="F106">
        <v>1</v>
      </c>
      <c r="G106">
        <v>589.38888888888903</v>
      </c>
      <c r="H106">
        <v>41.891411648568621</v>
      </c>
      <c r="I106">
        <v>7.7014485691826779E-6</v>
      </c>
      <c r="J106" s="14">
        <v>4.4939984776663584</v>
      </c>
    </row>
    <row r="107" spans="3:39" ht="15.75" thickBot="1" x14ac:dyDescent="0.3">
      <c r="C107" s="12"/>
      <c r="D107" t="s">
        <v>48</v>
      </c>
      <c r="E107">
        <v>-2.8421709430404007E-14</v>
      </c>
      <c r="F107">
        <v>0</v>
      </c>
      <c r="G107">
        <v>65535</v>
      </c>
      <c r="H107">
        <v>65535</v>
      </c>
      <c r="I107" t="e">
        <v>#NUM!</v>
      </c>
      <c r="J107" s="14" t="e">
        <v>#NUM!</v>
      </c>
    </row>
    <row r="108" spans="3:39" x14ac:dyDescent="0.25">
      <c r="C108" s="12"/>
      <c r="D108" t="s">
        <v>49</v>
      </c>
      <c r="E108">
        <v>225.11111111111111</v>
      </c>
      <c r="F108">
        <v>16</v>
      </c>
      <c r="G108">
        <v>14.069444444444445</v>
      </c>
      <c r="J108" s="14"/>
      <c r="V108" s="9"/>
      <c r="W108" s="10"/>
      <c r="X108" s="10"/>
      <c r="Y108" s="10"/>
      <c r="Z108" s="10"/>
      <c r="AA108" s="10"/>
      <c r="AB108" s="10"/>
      <c r="AC108" s="10"/>
      <c r="AD108" s="10"/>
      <c r="AE108" s="11"/>
    </row>
    <row r="109" spans="3:39" x14ac:dyDescent="0.25">
      <c r="C109" s="12"/>
      <c r="J109" s="14"/>
      <c r="V109" s="12"/>
      <c r="W109" s="46" t="s">
        <v>197</v>
      </c>
      <c r="X109" s="47"/>
      <c r="Y109" s="47"/>
      <c r="Z109" s="47"/>
      <c r="AA109" s="47"/>
      <c r="AB109" s="47"/>
      <c r="AC109" s="47"/>
      <c r="AD109" s="47"/>
      <c r="AE109" s="14"/>
    </row>
    <row r="110" spans="3:39" ht="15.75" thickBot="1" x14ac:dyDescent="0.3">
      <c r="C110" s="12"/>
      <c r="D110" s="6" t="s">
        <v>18</v>
      </c>
      <c r="E110" s="6">
        <v>814.50000000000011</v>
      </c>
      <c r="F110" s="6">
        <v>17</v>
      </c>
      <c r="G110" s="6"/>
      <c r="H110" s="6"/>
      <c r="I110" s="6"/>
      <c r="J110" s="18"/>
      <c r="V110" s="12"/>
      <c r="W110" s="47"/>
      <c r="X110" s="47"/>
      <c r="Y110" s="47"/>
      <c r="Z110" s="47"/>
      <c r="AA110" s="47"/>
      <c r="AB110" s="47"/>
      <c r="AC110" s="47"/>
      <c r="AD110" s="47"/>
      <c r="AE110" s="14"/>
    </row>
    <row r="111" spans="3:39" ht="30" x14ac:dyDescent="0.25">
      <c r="C111" s="12"/>
      <c r="D111" s="1"/>
      <c r="J111" s="14"/>
      <c r="V111" s="12"/>
      <c r="W111" s="3" t="s">
        <v>96</v>
      </c>
      <c r="X111" s="3" t="s">
        <v>189</v>
      </c>
      <c r="Y111" s="3" t="s">
        <v>190</v>
      </c>
      <c r="Z111" s="3" t="s">
        <v>191</v>
      </c>
      <c r="AA111" s="3" t="s">
        <v>192</v>
      </c>
      <c r="AB111" s="3" t="s">
        <v>193</v>
      </c>
      <c r="AC111" s="3" t="s">
        <v>194</v>
      </c>
      <c r="AD111" s="3" t="s">
        <v>198</v>
      </c>
      <c r="AE111" s="14"/>
      <c r="AH111" s="43" t="s">
        <v>200</v>
      </c>
      <c r="AI111" s="43" t="s">
        <v>201</v>
      </c>
      <c r="AJ111" s="43" t="s">
        <v>202</v>
      </c>
      <c r="AK111" s="43" t="s">
        <v>203</v>
      </c>
      <c r="AL111" s="43" t="s">
        <v>204</v>
      </c>
      <c r="AM111" s="43" t="s">
        <v>73</v>
      </c>
    </row>
    <row r="112" spans="3:39" x14ac:dyDescent="0.25">
      <c r="C112" s="12"/>
      <c r="D112" s="5"/>
      <c r="E112" s="5"/>
      <c r="F112" s="5"/>
      <c r="G112" s="5"/>
      <c r="H112" s="5"/>
      <c r="I112" s="5"/>
      <c r="J112" s="14"/>
      <c r="V112" s="12"/>
      <c r="W112" s="4" t="s">
        <v>195</v>
      </c>
      <c r="X112" s="4">
        <v>78</v>
      </c>
      <c r="Y112" s="4">
        <v>82</v>
      </c>
      <c r="Z112" s="4">
        <v>85</v>
      </c>
      <c r="AA112" s="4">
        <v>80</v>
      </c>
      <c r="AB112" s="4">
        <v>74.999999999999929</v>
      </c>
      <c r="AC112" s="4">
        <f>AVERAGE(X112:AB112)</f>
        <v>79.999999999999986</v>
      </c>
      <c r="AD112" s="30">
        <v>50</v>
      </c>
      <c r="AE112" s="14"/>
      <c r="AH112" s="48">
        <v>46181</v>
      </c>
      <c r="AI112" s="30" t="s">
        <v>74</v>
      </c>
      <c r="AJ112" s="30" t="s">
        <v>205</v>
      </c>
      <c r="AK112" s="30" t="s">
        <v>209</v>
      </c>
      <c r="AL112" s="30" t="s">
        <v>213</v>
      </c>
      <c r="AM112" s="30">
        <v>56</v>
      </c>
    </row>
    <row r="113" spans="3:39" x14ac:dyDescent="0.25">
      <c r="C113" s="12"/>
      <c r="D113" s="1" t="s">
        <v>50</v>
      </c>
      <c r="J113" s="14"/>
      <c r="V113" s="12"/>
      <c r="W113" s="4" t="s">
        <v>80</v>
      </c>
      <c r="X113" s="4">
        <v>90</v>
      </c>
      <c r="Y113" s="4">
        <v>87</v>
      </c>
      <c r="Z113" s="4">
        <v>89</v>
      </c>
      <c r="AA113" s="4">
        <v>91</v>
      </c>
      <c r="AB113" s="4">
        <v>43</v>
      </c>
      <c r="AC113" s="4">
        <f t="shared" ref="AC113:AC116" si="1">AVERAGE(X113:AB113)</f>
        <v>80</v>
      </c>
      <c r="AD113" s="30">
        <v>50</v>
      </c>
      <c r="AE113" s="14"/>
      <c r="AH113" s="48">
        <v>46182</v>
      </c>
      <c r="AI113" s="30" t="s">
        <v>74</v>
      </c>
      <c r="AJ113" s="30" t="s">
        <v>206</v>
      </c>
      <c r="AK113" s="30" t="s">
        <v>210</v>
      </c>
      <c r="AL113" s="30" t="s">
        <v>214</v>
      </c>
      <c r="AM113" s="30">
        <v>78</v>
      </c>
    </row>
    <row r="114" spans="3:39" ht="15.75" thickBot="1" x14ac:dyDescent="0.3">
      <c r="C114" s="12"/>
      <c r="J114" s="14"/>
      <c r="V114" s="12"/>
      <c r="W114" s="4" t="s">
        <v>83</v>
      </c>
      <c r="X114" s="4">
        <v>65</v>
      </c>
      <c r="Y114" s="4">
        <v>70</v>
      </c>
      <c r="Z114" s="4">
        <v>68</v>
      </c>
      <c r="AA114" s="4">
        <v>71</v>
      </c>
      <c r="AB114" s="4">
        <v>126.00000000000001</v>
      </c>
      <c r="AC114" s="4">
        <f t="shared" si="1"/>
        <v>80</v>
      </c>
      <c r="AD114" s="30">
        <v>50</v>
      </c>
      <c r="AE114" s="14"/>
      <c r="AH114" s="48">
        <v>46183</v>
      </c>
      <c r="AI114" s="30" t="s">
        <v>74</v>
      </c>
      <c r="AJ114" s="30" t="s">
        <v>207</v>
      </c>
      <c r="AK114" s="30" t="s">
        <v>211</v>
      </c>
      <c r="AL114" s="30" t="s">
        <v>215</v>
      </c>
      <c r="AM114" s="30">
        <v>34</v>
      </c>
    </row>
    <row r="115" spans="3:39" x14ac:dyDescent="0.25">
      <c r="C115" s="12"/>
      <c r="D115" s="7"/>
      <c r="E115" s="7" t="s">
        <v>38</v>
      </c>
      <c r="F115" s="7" t="s">
        <v>39</v>
      </c>
      <c r="J115" s="14"/>
      <c r="V115" s="12"/>
      <c r="W115" s="4" t="s">
        <v>87</v>
      </c>
      <c r="X115" s="4">
        <v>88</v>
      </c>
      <c r="Y115" s="4">
        <v>86</v>
      </c>
      <c r="Z115" s="4">
        <v>92</v>
      </c>
      <c r="AA115" s="4">
        <v>89</v>
      </c>
      <c r="AB115" s="4">
        <v>44.999999999999964</v>
      </c>
      <c r="AC115" s="4">
        <f t="shared" si="1"/>
        <v>79.999999999999986</v>
      </c>
      <c r="AD115" s="30">
        <v>50</v>
      </c>
      <c r="AE115" s="14"/>
      <c r="AH115" s="48">
        <v>46184</v>
      </c>
      <c r="AI115" s="30" t="s">
        <v>74</v>
      </c>
      <c r="AJ115" s="30" t="s">
        <v>208</v>
      </c>
      <c r="AK115" s="30" t="s">
        <v>212</v>
      </c>
      <c r="AL115" s="30" t="s">
        <v>216</v>
      </c>
      <c r="AM115" s="30">
        <v>65</v>
      </c>
    </row>
    <row r="116" spans="3:39" x14ac:dyDescent="0.25">
      <c r="C116" s="12"/>
      <c r="D116" t="s">
        <v>24</v>
      </c>
      <c r="E116">
        <v>75.111111111111114</v>
      </c>
      <c r="F116">
        <v>86.555555555555557</v>
      </c>
      <c r="J116" s="14"/>
      <c r="V116" s="12"/>
      <c r="W116" s="4" t="s">
        <v>196</v>
      </c>
      <c r="X116" s="4">
        <v>76</v>
      </c>
      <c r="Y116" s="4">
        <v>75</v>
      </c>
      <c r="Z116" s="4">
        <v>80</v>
      </c>
      <c r="AA116" s="4">
        <v>78</v>
      </c>
      <c r="AB116" s="4">
        <v>91.000000000000014</v>
      </c>
      <c r="AC116" s="4">
        <f t="shared" si="1"/>
        <v>80</v>
      </c>
      <c r="AD116" s="30">
        <v>50</v>
      </c>
      <c r="AE116" s="14"/>
    </row>
    <row r="117" spans="3:39" x14ac:dyDescent="0.25">
      <c r="C117" s="12"/>
      <c r="D117" t="s">
        <v>7</v>
      </c>
      <c r="E117">
        <v>17.111111111111111</v>
      </c>
      <c r="F117">
        <v>11.027777777777779</v>
      </c>
      <c r="J117" s="14"/>
      <c r="V117" s="12"/>
      <c r="W117" s="47"/>
      <c r="X117" s="47"/>
      <c r="Y117" s="47"/>
      <c r="Z117" s="47"/>
      <c r="AA117" s="47"/>
      <c r="AB117" s="47"/>
      <c r="AC117" s="47"/>
      <c r="AD117" s="47"/>
      <c r="AE117" s="14"/>
    </row>
    <row r="118" spans="3:39" x14ac:dyDescent="0.25">
      <c r="C118" s="12"/>
      <c r="D118" t="s">
        <v>51</v>
      </c>
      <c r="E118">
        <v>9</v>
      </c>
      <c r="F118">
        <v>9</v>
      </c>
      <c r="J118" s="14"/>
      <c r="V118" s="12"/>
      <c r="W118" s="47"/>
      <c r="X118" s="47"/>
      <c r="Y118" s="47"/>
      <c r="Z118" s="47"/>
      <c r="AA118" s="47"/>
      <c r="AB118" s="47"/>
      <c r="AC118" s="47"/>
      <c r="AD118" s="47"/>
      <c r="AE118" s="14"/>
    </row>
    <row r="119" spans="3:39" x14ac:dyDescent="0.25">
      <c r="C119" s="12"/>
      <c r="D119" t="s">
        <v>11</v>
      </c>
      <c r="E119">
        <v>8</v>
      </c>
      <c r="F119">
        <v>8</v>
      </c>
      <c r="J119" s="14"/>
      <c r="V119" s="12"/>
      <c r="W119" s="47"/>
      <c r="X119" s="47"/>
      <c r="Y119" s="47"/>
      <c r="Z119" s="47"/>
      <c r="AA119" s="47"/>
      <c r="AB119" s="47"/>
      <c r="AC119" s="47"/>
      <c r="AD119" s="47"/>
      <c r="AE119" s="14"/>
    </row>
    <row r="120" spans="3:39" x14ac:dyDescent="0.25">
      <c r="C120" s="12"/>
      <c r="D120" t="s">
        <v>13</v>
      </c>
      <c r="E120">
        <v>1.5516372795969773</v>
      </c>
      <c r="J120" s="14"/>
      <c r="V120" s="12"/>
      <c r="W120" s="47"/>
      <c r="X120" s="47"/>
      <c r="Y120" s="47"/>
      <c r="Z120" s="47"/>
      <c r="AA120" s="47"/>
      <c r="AB120" s="47"/>
      <c r="AC120" s="47"/>
      <c r="AD120" s="47"/>
      <c r="AE120" s="14"/>
    </row>
    <row r="121" spans="3:39" x14ac:dyDescent="0.25">
      <c r="C121" s="12"/>
      <c r="D121" t="s">
        <v>52</v>
      </c>
      <c r="E121">
        <v>0.27428775021512475</v>
      </c>
      <c r="J121" s="14"/>
      <c r="V121" s="12"/>
      <c r="W121" s="47"/>
      <c r="X121" s="47"/>
      <c r="Y121" s="30"/>
      <c r="Z121" s="43" t="s">
        <v>194</v>
      </c>
      <c r="AA121" s="43">
        <f>AC112</f>
        <v>79.999999999999986</v>
      </c>
      <c r="AB121" s="47"/>
      <c r="AC121" s="30"/>
      <c r="AD121" s="43" t="s">
        <v>194</v>
      </c>
      <c r="AE121" s="14"/>
    </row>
    <row r="122" spans="3:39" ht="15.75" thickBot="1" x14ac:dyDescent="0.3">
      <c r="C122" s="12"/>
      <c r="D122" s="6" t="s">
        <v>53</v>
      </c>
      <c r="E122" s="6">
        <v>3.4381012333731586</v>
      </c>
      <c r="F122" s="6"/>
      <c r="J122" s="14"/>
      <c r="V122" s="12"/>
      <c r="W122" s="47"/>
      <c r="X122" s="47"/>
      <c r="Y122" s="43" t="s">
        <v>199</v>
      </c>
      <c r="Z122" s="30" t="str">
        <f t="dataTable" ref="Z122:AA128" dt2D="0" dtr="0" r1="AB112"/>
        <v>Overall Score</v>
      </c>
      <c r="AA122" s="43">
        <v>81.25</v>
      </c>
      <c r="AB122" s="47"/>
      <c r="AC122" s="43" t="s">
        <v>199</v>
      </c>
      <c r="AD122" s="30">
        <f>AC113</f>
        <v>80</v>
      </c>
      <c r="AE122" s="14"/>
    </row>
    <row r="123" spans="3:39" x14ac:dyDescent="0.25">
      <c r="C123" s="12"/>
      <c r="J123" s="14"/>
      <c r="V123" s="12"/>
      <c r="W123" s="47"/>
      <c r="X123" s="47"/>
      <c r="Y123" s="30">
        <v>70</v>
      </c>
      <c r="Z123" s="30" t="str">
        <v>Overall Score</v>
      </c>
      <c r="AA123" s="30">
        <v>79</v>
      </c>
      <c r="AB123" s="47"/>
      <c r="AC123" s="30">
        <v>70</v>
      </c>
      <c r="AD123" s="30">
        <f t="dataTable" ref="AD123:AD128" dt2D="0" dtr="0" r1="AB113"/>
        <v>85.4</v>
      </c>
      <c r="AE123" s="14"/>
    </row>
    <row r="124" spans="3:39" x14ac:dyDescent="0.25">
      <c r="C124" s="12"/>
      <c r="J124" s="14"/>
      <c r="V124" s="12"/>
      <c r="W124" s="47"/>
      <c r="X124" s="47"/>
      <c r="Y124" s="30">
        <v>75</v>
      </c>
      <c r="Z124" s="30" t="str">
        <v>Overall Score</v>
      </c>
      <c r="AA124" s="30">
        <v>80</v>
      </c>
      <c r="AB124" s="47"/>
      <c r="AC124" s="30">
        <v>75</v>
      </c>
      <c r="AD124" s="30">
        <v>86.4</v>
      </c>
      <c r="AE124" s="14"/>
    </row>
    <row r="125" spans="3:39" x14ac:dyDescent="0.25">
      <c r="C125" s="12"/>
      <c r="D125" s="1" t="s">
        <v>54</v>
      </c>
      <c r="J125" s="14"/>
      <c r="V125" s="12"/>
      <c r="W125" s="47"/>
      <c r="X125" s="47"/>
      <c r="Y125" s="30">
        <v>80</v>
      </c>
      <c r="Z125" s="30" t="str">
        <v>Overall Score</v>
      </c>
      <c r="AA125" s="30">
        <v>81</v>
      </c>
      <c r="AB125" s="47"/>
      <c r="AC125" s="30">
        <v>80</v>
      </c>
      <c r="AD125" s="30">
        <v>87.4</v>
      </c>
      <c r="AE125" s="14"/>
    </row>
    <row r="126" spans="3:39" ht="15.75" thickBot="1" x14ac:dyDescent="0.3">
      <c r="C126" s="12"/>
      <c r="J126" s="14"/>
      <c r="V126" s="12"/>
      <c r="W126" s="47"/>
      <c r="X126" s="47"/>
      <c r="Y126" s="30">
        <v>85</v>
      </c>
      <c r="Z126" s="30" t="str">
        <v>Overall Score</v>
      </c>
      <c r="AA126" s="30">
        <v>82</v>
      </c>
      <c r="AB126" s="47"/>
      <c r="AC126" s="30">
        <v>85</v>
      </c>
      <c r="AD126" s="30">
        <v>88.4</v>
      </c>
      <c r="AE126" s="14"/>
    </row>
    <row r="127" spans="3:39" x14ac:dyDescent="0.25">
      <c r="C127" s="12"/>
      <c r="D127" s="7"/>
      <c r="E127" s="7" t="s">
        <v>38</v>
      </c>
      <c r="F127" s="7" t="s">
        <v>39</v>
      </c>
      <c r="J127" s="14"/>
      <c r="V127" s="12"/>
      <c r="W127" s="47"/>
      <c r="X127" s="47"/>
      <c r="Y127" s="30">
        <v>90</v>
      </c>
      <c r="Z127" s="30" t="str">
        <v>Overall Score</v>
      </c>
      <c r="AA127" s="30">
        <v>83</v>
      </c>
      <c r="AB127" s="47"/>
      <c r="AC127" s="30">
        <v>90</v>
      </c>
      <c r="AD127" s="30">
        <v>89.4</v>
      </c>
      <c r="AE127" s="14"/>
    </row>
    <row r="128" spans="3:39" x14ac:dyDescent="0.25">
      <c r="C128" s="12"/>
      <c r="D128" t="s">
        <v>24</v>
      </c>
      <c r="E128">
        <v>75.111111111111114</v>
      </c>
      <c r="F128">
        <v>86.555555555555557</v>
      </c>
      <c r="J128" s="14"/>
      <c r="V128" s="12"/>
      <c r="W128" s="47"/>
      <c r="X128" s="47"/>
      <c r="Y128" s="30">
        <v>95</v>
      </c>
      <c r="Z128" s="30" t="str">
        <v>Overall Score</v>
      </c>
      <c r="AA128" s="30">
        <v>84</v>
      </c>
      <c r="AB128" s="47"/>
      <c r="AC128" s="30">
        <v>95</v>
      </c>
      <c r="AD128" s="30">
        <v>90.4</v>
      </c>
      <c r="AE128" s="14"/>
    </row>
    <row r="129" spans="3:31" x14ac:dyDescent="0.25">
      <c r="C129" s="12"/>
      <c r="D129" t="s">
        <v>7</v>
      </c>
      <c r="E129">
        <v>17.111111111111111</v>
      </c>
      <c r="F129">
        <v>11.027777777777779</v>
      </c>
      <c r="J129" s="14"/>
      <c r="V129" s="12"/>
      <c r="W129" s="47"/>
      <c r="X129" s="47"/>
      <c r="Y129" s="47"/>
      <c r="Z129" s="47"/>
      <c r="AA129" s="47"/>
      <c r="AB129" s="47"/>
      <c r="AC129" s="47"/>
      <c r="AD129" s="47"/>
      <c r="AE129" s="14"/>
    </row>
    <row r="130" spans="3:31" x14ac:dyDescent="0.25">
      <c r="C130" s="12"/>
      <c r="D130" t="s">
        <v>51</v>
      </c>
      <c r="E130">
        <v>9</v>
      </c>
      <c r="F130">
        <v>9</v>
      </c>
      <c r="J130" s="14"/>
      <c r="V130" s="12"/>
      <c r="W130" s="47"/>
      <c r="X130" s="47"/>
      <c r="Y130" s="47"/>
      <c r="Z130" s="47"/>
      <c r="AA130" s="47"/>
      <c r="AB130" s="47"/>
      <c r="AC130" s="47"/>
      <c r="AD130" s="47"/>
      <c r="AE130" s="14"/>
    </row>
    <row r="131" spans="3:31" ht="15.75" thickBot="1" x14ac:dyDescent="0.3">
      <c r="C131" s="12"/>
      <c r="D131" t="s">
        <v>55</v>
      </c>
      <c r="E131">
        <v>0</v>
      </c>
      <c r="J131" s="14"/>
      <c r="V131" s="21"/>
      <c r="W131" s="6"/>
      <c r="X131" s="6"/>
      <c r="Y131" s="6"/>
      <c r="Z131" s="6"/>
      <c r="AA131" s="6"/>
      <c r="AB131" s="6"/>
      <c r="AC131" s="6"/>
      <c r="AD131" s="6"/>
      <c r="AE131" s="18"/>
    </row>
    <row r="132" spans="3:31" x14ac:dyDescent="0.25">
      <c r="C132" s="12"/>
      <c r="D132" t="s">
        <v>11</v>
      </c>
      <c r="E132">
        <v>15</v>
      </c>
      <c r="J132" s="14"/>
    </row>
    <row r="133" spans="3:31" x14ac:dyDescent="0.25">
      <c r="C133" s="12"/>
      <c r="D133" t="s">
        <v>56</v>
      </c>
      <c r="E133">
        <v>-6.4723575031489569</v>
      </c>
      <c r="J133" s="14"/>
    </row>
    <row r="134" spans="3:31" x14ac:dyDescent="0.25">
      <c r="C134" s="12"/>
      <c r="D134" t="s">
        <v>57</v>
      </c>
      <c r="E134">
        <v>5.262215756777285E-6</v>
      </c>
      <c r="J134" s="14"/>
    </row>
    <row r="135" spans="3:31" x14ac:dyDescent="0.25">
      <c r="C135" s="12"/>
      <c r="D135" t="s">
        <v>58</v>
      </c>
      <c r="E135">
        <v>1.7530503556925723</v>
      </c>
      <c r="J135" s="14"/>
    </row>
    <row r="136" spans="3:31" x14ac:dyDescent="0.25">
      <c r="C136" s="12"/>
      <c r="D136" t="s">
        <v>59</v>
      </c>
      <c r="E136">
        <v>1.052443151355457E-5</v>
      </c>
      <c r="J136" s="14"/>
    </row>
    <row r="137" spans="3:31" ht="15.75" thickBot="1" x14ac:dyDescent="0.3">
      <c r="C137" s="12"/>
      <c r="D137" s="6" t="s">
        <v>60</v>
      </c>
      <c r="E137" s="6">
        <v>2.1314495455597742</v>
      </c>
      <c r="F137" s="6"/>
      <c r="J137" s="14"/>
    </row>
    <row r="138" spans="3:31" x14ac:dyDescent="0.25">
      <c r="C138" s="12"/>
      <c r="J138" s="14"/>
    </row>
    <row r="139" spans="3:31" x14ac:dyDescent="0.25">
      <c r="C139" s="12"/>
      <c r="J139" s="14"/>
    </row>
    <row r="140" spans="3:31" x14ac:dyDescent="0.25">
      <c r="C140" s="12"/>
      <c r="D140" s="1" t="s">
        <v>61</v>
      </c>
      <c r="J140" s="14"/>
    </row>
    <row r="141" spans="3:31" ht="15.75" thickBot="1" x14ac:dyDescent="0.3">
      <c r="C141" s="12"/>
      <c r="J141" s="14"/>
    </row>
    <row r="142" spans="3:31" x14ac:dyDescent="0.25">
      <c r="C142" s="12"/>
      <c r="D142" s="7"/>
      <c r="E142" s="7" t="s">
        <v>38</v>
      </c>
      <c r="F142" s="7" t="s">
        <v>39</v>
      </c>
      <c r="J142" s="14"/>
    </row>
    <row r="143" spans="3:31" x14ac:dyDescent="0.25">
      <c r="C143" s="12"/>
      <c r="D143" t="s">
        <v>24</v>
      </c>
      <c r="E143">
        <v>75.111111111111114</v>
      </c>
      <c r="F143">
        <v>86.555555555555557</v>
      </c>
      <c r="J143" s="14"/>
    </row>
    <row r="144" spans="3:31" x14ac:dyDescent="0.25">
      <c r="C144" s="12"/>
      <c r="D144" t="s">
        <v>62</v>
      </c>
      <c r="E144">
        <v>17.111111099999999</v>
      </c>
      <c r="F144">
        <v>11.027777779999999</v>
      </c>
      <c r="J144" s="14"/>
    </row>
    <row r="145" spans="3:10" x14ac:dyDescent="0.25">
      <c r="C145" s="12"/>
      <c r="D145" t="s">
        <v>51</v>
      </c>
      <c r="E145">
        <v>9</v>
      </c>
      <c r="F145">
        <v>9</v>
      </c>
      <c r="J145" s="14"/>
    </row>
    <row r="146" spans="3:10" x14ac:dyDescent="0.25">
      <c r="C146" s="12"/>
      <c r="D146" t="s">
        <v>55</v>
      </c>
      <c r="E146">
        <v>11</v>
      </c>
      <c r="J146" s="14"/>
    </row>
    <row r="147" spans="3:10" x14ac:dyDescent="0.25">
      <c r="C147" s="12"/>
      <c r="D147" t="s">
        <v>63</v>
      </c>
      <c r="E147">
        <v>-12.693361318860111</v>
      </c>
      <c r="J147" s="14"/>
    </row>
    <row r="148" spans="3:10" x14ac:dyDescent="0.25">
      <c r="C148" s="12"/>
      <c r="D148" t="s">
        <v>64</v>
      </c>
      <c r="E148">
        <v>0</v>
      </c>
      <c r="J148" s="14"/>
    </row>
    <row r="149" spans="3:10" x14ac:dyDescent="0.25">
      <c r="C149" s="12"/>
      <c r="D149" t="s">
        <v>65</v>
      </c>
      <c r="E149">
        <v>1.6448536269514715</v>
      </c>
      <c r="J149" s="14"/>
    </row>
    <row r="150" spans="3:10" x14ac:dyDescent="0.25">
      <c r="C150" s="12"/>
      <c r="D150" t="s">
        <v>66</v>
      </c>
      <c r="E150">
        <v>0</v>
      </c>
      <c r="J150" s="14"/>
    </row>
    <row r="151" spans="3:10" ht="15.75" thickBot="1" x14ac:dyDescent="0.3">
      <c r="C151" s="12"/>
      <c r="D151" s="6" t="s">
        <v>67</v>
      </c>
      <c r="E151" s="6">
        <v>1.9599639845400536</v>
      </c>
      <c r="F151" s="6"/>
      <c r="J151" s="14"/>
    </row>
    <row r="152" spans="3:10" x14ac:dyDescent="0.25">
      <c r="C152" s="12"/>
      <c r="J152" s="14"/>
    </row>
    <row r="153" spans="3:10" x14ac:dyDescent="0.25">
      <c r="C153" s="12"/>
      <c r="J153" s="14"/>
    </row>
    <row r="154" spans="3:10" x14ac:dyDescent="0.25">
      <c r="C154" s="12"/>
      <c r="J154" s="14"/>
    </row>
    <row r="155" spans="3:10" ht="15.75" thickBot="1" x14ac:dyDescent="0.3">
      <c r="C155" s="21"/>
      <c r="D155" s="6"/>
      <c r="E155" s="6"/>
      <c r="F155" s="6"/>
      <c r="G155" s="6"/>
      <c r="H155" s="6"/>
      <c r="I155" s="6"/>
      <c r="J155" s="18"/>
    </row>
    <row r="186" spans="4:8" x14ac:dyDescent="0.25">
      <c r="D186" s="1"/>
    </row>
    <row r="188" spans="4:8" x14ac:dyDescent="0.25">
      <c r="D188" s="5"/>
      <c r="E188" s="5"/>
      <c r="F188" s="5"/>
      <c r="G188" s="5"/>
      <c r="H188" s="5"/>
    </row>
    <row r="205" spans="4:10" x14ac:dyDescent="0.25">
      <c r="D205" s="5"/>
      <c r="E205" s="5"/>
      <c r="F205" s="5"/>
      <c r="G205" s="5"/>
      <c r="H205" s="5"/>
      <c r="I205" s="5"/>
      <c r="J205" s="5"/>
    </row>
  </sheetData>
  <scenarios current="0" show="2">
    <scenario name="capstone40" locked="1" count="1" user="MITS" comment="Created by MITS on 08-06-2026">
      <inputCells r="AB112" val="40"/>
    </scenario>
    <scenario name="capstone81" locked="1" count="1" user="MITS" comment="Created by MITS on 08-06-2026">
      <inputCells r="AB112" val="81"/>
    </scenario>
    <scenario name="capston50" locked="1" count="1" user="MITS" comment="Created by MITS on 08-06-2026_x000a_Modified by MITS on 08-06-2026">
      <inputCells r="AD113" val="50"/>
    </scenario>
  </scenarios>
  <autoFilter ref="V69:AG89" xr:uid="{4DF80C49-2B8F-40DC-9776-2378FFA50510}">
    <sortState xmlns:xlrd2="http://schemas.microsoft.com/office/spreadsheetml/2017/richdata2" ref="V70:AG89">
      <sortCondition ref="V69:V89"/>
    </sortState>
  </autoFilter>
  <phoneticPr fontId="6" type="noConversion"/>
  <dataValidations disablePrompts="1" count="2">
    <dataValidation type="whole" allowBlank="1" showInputMessage="1" showErrorMessage="1" sqref="Y69:Y89" xr:uid="{911FD370-92C5-4E75-B92E-30555B4B55CB}">
      <formula1>20</formula1>
      <formula2>30</formula2>
    </dataValidation>
    <dataValidation type="list" allowBlank="1" showInputMessage="1" showErrorMessage="1" sqref="X69:X89" xr:uid="{2E4C3471-1E40-436E-9B71-D78DF909640F}">
      <formula1>"Male,Female"</formula1>
    </dataValidation>
  </dataValidations>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2026-06-05T04:19:48Z</dcterms:created>
  <dcterms:modified xsi:type="dcterms:W3CDTF">2026-06-08T08:52:51Z</dcterms:modified>
</cp:coreProperties>
</file>