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13_ncr:1_{36CEF1AF-3FB1-4EC7-B045-0674381958F3}" xr6:coauthVersionLast="47" xr6:coauthVersionMax="47" xr10:uidLastSave="{00000000-0000-0000-0000-000000000000}"/>
  <bookViews>
    <workbookView xWindow="-120" yWindow="-120" windowWidth="29040" windowHeight="15720" xr2:uid="{87E35BA0-6189-41E8-91C2-5B58814795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4" i="1" l="1"/>
  <c r="E63" i="1"/>
</calcChain>
</file>

<file path=xl/sharedStrings.xml><?xml version="1.0" encoding="utf-8"?>
<sst xmlns="http://schemas.openxmlformats.org/spreadsheetml/2006/main" count="129" uniqueCount="50">
  <si>
    <t>Statistical Analysis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</si>
  <si>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</si>
  <si>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</si>
  <si>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</si>
  <si>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</si>
  <si>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</si>
  <si>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</si>
  <si>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</si>
  <si>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</si>
  <si>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</si>
  <si>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</si>
  <si>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</si>
  <si>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</si>
  <si>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</si>
  <si>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</si>
  <si>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</si>
  <si>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</si>
  <si>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</si>
  <si>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</si>
  <si>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Anova: Two-Factor Without Replication</t>
  </si>
  <si>
    <t>Rows</t>
  </si>
  <si>
    <t>Columns</t>
  </si>
  <si>
    <t>Error</t>
  </si>
  <si>
    <t>Covariance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</si>
  <si>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</si>
  <si>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</si>
  <si>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</si>
  <si>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</si>
  <si>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</si>
  <si>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</si>
  <si>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</si>
  <si>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</si>
  <si>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</si>
  <si>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</si>
  <si>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</si>
  <si>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Descriptive Statistics</t>
  </si>
  <si>
    <t>Department</t>
  </si>
  <si>
    <t>CSE</t>
  </si>
  <si>
    <t>Male</t>
  </si>
  <si>
    <t>Female</t>
  </si>
  <si>
    <t>ECE</t>
  </si>
  <si>
    <t>MECH</t>
  </si>
  <si>
    <t>Correlation</t>
  </si>
  <si>
    <t>Largest(1)</t>
  </si>
  <si>
    <t>Smallest(1)</t>
  </si>
  <si>
    <t>Confidence Level(95.0%)</t>
  </si>
  <si>
    <t>Anova: Two-Factor With Replication</t>
  </si>
  <si>
    <t>Sample</t>
  </si>
  <si>
    <t>Interaction</t>
  </si>
  <si>
    <t>Within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</si>
</sst>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/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/>
    </xf>
    <xf numFmtId="0" fontId="0" fillId="0" borderId="2" xfId="0" applyBorder="1"/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0" fontId="5" fillId="0" borderId="4" xfId="0" applyFont="1" applyFill="1" applyBorder="1" applyAlignment="1">
      <alignment horizontal="right"/>
    </xf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0C49-2B8F-40DC-9776-2378FFA50510}">
  <dimension ref="A3:X205"/>
  <sheetViews>
    <sheetView tabSelected="1" topLeftCell="B46" zoomScale="115" zoomScaleNormal="115" workbookViewId="0">
      <selection activeCell="G56" sqref="G56"/>
    </sheetView>
  </sheetViews>
  <sheetFormatPr defaultRowHeight="15" x14ac:dyDescent="0.25"/>
  <cols>
    <col min="1" max="1" width="36.7109375" customWidth="1"/>
    <col min="4" max="4" width="35.42578125" customWidth="1"/>
    <col min="5" max="5" width="35.85546875" customWidth="1"/>
    <col min="6" max="6" width="30" customWidth="1"/>
    <col min="7" max="7" width="16.5703125" customWidth="1"/>
    <col min="8" max="8" width="20.42578125" customWidth="1"/>
    <col min="9" max="9" width="13.28515625" customWidth="1"/>
    <col min="10" max="10" width="15.7109375" customWidth="1"/>
    <col min="11" max="11" width="15.140625" customWidth="1"/>
    <col min="12" max="12" width="7.42578125" customWidth="1"/>
    <col min="13" max="13" width="2.7109375" hidden="1" customWidth="1"/>
    <col min="14" max="14" width="19.42578125" customWidth="1"/>
  </cols>
  <sheetData>
    <row r="3" spans="4:9" ht="18.75" x14ac:dyDescent="0.3">
      <c r="D3" s="1" t="s">
        <v>0</v>
      </c>
    </row>
    <row r="6" spans="4:9" x14ac:dyDescent="0.25">
      <c r="D6" s="4" t="s">
        <v>36</v>
      </c>
      <c r="E6" s="4" t="s">
        <v>38</v>
      </c>
      <c r="F6" s="4" t="s">
        <v>39</v>
      </c>
    </row>
    <row r="7" spans="4:9" x14ac:dyDescent="0.25">
      <c r="D7" s="5" t="s">
        <v>37</v>
      </c>
      <c r="E7" s="5">
        <v>78</v>
      </c>
      <c r="F7" s="5">
        <v>85</v>
      </c>
      <c r="G7" s="6"/>
      <c r="H7" s="6"/>
      <c r="I7" s="6"/>
    </row>
    <row r="8" spans="4:9" x14ac:dyDescent="0.25">
      <c r="D8" s="5" t="s">
        <v>40</v>
      </c>
      <c r="E8" s="5">
        <v>72</v>
      </c>
      <c r="F8" s="5">
        <v>88</v>
      </c>
      <c r="G8" s="7"/>
      <c r="H8" s="7"/>
      <c r="I8" s="7"/>
    </row>
    <row r="9" spans="4:9" x14ac:dyDescent="0.25">
      <c r="D9" s="5" t="s">
        <v>41</v>
      </c>
      <c r="E9" s="5">
        <v>69</v>
      </c>
      <c r="F9" s="5">
        <v>81</v>
      </c>
      <c r="G9" s="7"/>
      <c r="H9" s="7"/>
      <c r="I9" s="7"/>
    </row>
    <row r="10" spans="4:9" x14ac:dyDescent="0.25">
      <c r="D10" s="5" t="s">
        <v>37</v>
      </c>
      <c r="E10" s="5">
        <v>82</v>
      </c>
      <c r="F10" s="5">
        <v>87</v>
      </c>
      <c r="G10" s="7"/>
      <c r="H10" s="7"/>
      <c r="I10" s="7"/>
    </row>
    <row r="11" spans="4:9" x14ac:dyDescent="0.25">
      <c r="D11" s="5" t="s">
        <v>40</v>
      </c>
      <c r="E11" s="5">
        <v>76</v>
      </c>
      <c r="F11" s="5">
        <v>91</v>
      </c>
      <c r="G11" s="7"/>
      <c r="H11" s="7"/>
      <c r="I11" s="7"/>
    </row>
    <row r="12" spans="4:9" x14ac:dyDescent="0.25">
      <c r="D12" s="5" t="s">
        <v>41</v>
      </c>
      <c r="E12" s="5">
        <v>74</v>
      </c>
      <c r="F12" s="5">
        <v>83</v>
      </c>
      <c r="G12" s="7"/>
      <c r="H12" s="7"/>
      <c r="I12" s="7"/>
    </row>
    <row r="13" spans="4:9" x14ac:dyDescent="0.25">
      <c r="D13" s="5" t="s">
        <v>37</v>
      </c>
      <c r="E13" s="5">
        <v>79</v>
      </c>
      <c r="F13" s="5">
        <v>90</v>
      </c>
      <c r="G13" s="7"/>
      <c r="H13" s="7"/>
      <c r="I13" s="7"/>
    </row>
    <row r="14" spans="4:9" x14ac:dyDescent="0.25">
      <c r="D14" s="5" t="s">
        <v>40</v>
      </c>
      <c r="E14" s="5">
        <v>75</v>
      </c>
      <c r="F14" s="5">
        <v>89</v>
      </c>
      <c r="G14" s="7"/>
      <c r="H14" s="7"/>
      <c r="I14" s="7"/>
    </row>
    <row r="15" spans="4:9" x14ac:dyDescent="0.25">
      <c r="D15" s="5" t="s">
        <v>41</v>
      </c>
      <c r="E15" s="5">
        <v>71</v>
      </c>
      <c r="F15" s="5">
        <v>85</v>
      </c>
      <c r="G15" s="7"/>
      <c r="H15" s="7"/>
      <c r="I15" s="7"/>
    </row>
    <row r="16" spans="4:9" x14ac:dyDescent="0.25">
      <c r="D16" s="7"/>
      <c r="E16" s="7"/>
      <c r="F16" s="7"/>
      <c r="G16" s="7"/>
      <c r="H16" s="7"/>
      <c r="I16" s="7"/>
    </row>
    <row r="17" spans="1:24" x14ac:dyDescent="0.25">
      <c r="D17" s="7"/>
      <c r="E17" s="7"/>
      <c r="F17" s="7"/>
      <c r="G17" s="7"/>
      <c r="H17" s="7"/>
      <c r="I17" s="7"/>
    </row>
    <row r="19" spans="1:24" x14ac:dyDescent="0.25">
      <c r="D19" s="2" t="s">
        <v>1</v>
      </c>
    </row>
    <row r="21" spans="1:24" ht="15.75" thickBot="1" x14ac:dyDescent="0.3">
      <c r="D21" t="s">
        <v>2</v>
      </c>
    </row>
    <row r="22" spans="1:24" x14ac:dyDescent="0.25">
      <c r="D22" s="10" t="s">
        <v>3</v>
      </c>
      <c r="E22" s="10" t="s">
        <v>4</v>
      </c>
      <c r="F22" s="10" t="s">
        <v>5</v>
      </c>
      <c r="G22" s="10" t="s">
        <v>6</v>
      </c>
      <c r="H22" s="10" t="s">
        <v>7</v>
      </c>
    </row>
    <row r="23" spans="1:24" x14ac:dyDescent="0.25">
      <c r="D23" t="s">
        <v>38</v>
      </c>
      <c r="E23">
        <v>10</v>
      </c>
      <c r="F23">
        <v>760</v>
      </c>
      <c r="G23">
        <v>76</v>
      </c>
      <c r="H23">
        <v>23.111111111111111</v>
      </c>
    </row>
    <row r="24" spans="1:24" ht="15.75" thickBot="1" x14ac:dyDescent="0.3">
      <c r="D24" s="9" t="s">
        <v>39</v>
      </c>
      <c r="E24" s="9">
        <v>10</v>
      </c>
      <c r="F24" s="9">
        <v>871</v>
      </c>
      <c r="G24" s="9">
        <v>87.1</v>
      </c>
      <c r="H24" s="9">
        <v>12.766666666666667</v>
      </c>
    </row>
    <row r="26" spans="1:24" x14ac:dyDescent="0.25"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5.75" thickBot="1" x14ac:dyDescent="0.3">
      <c r="A27" s="2"/>
      <c r="D27" t="s">
        <v>8</v>
      </c>
    </row>
    <row r="28" spans="1:24" x14ac:dyDescent="0.25">
      <c r="D28" s="10" t="s">
        <v>9</v>
      </c>
      <c r="E28" s="10" t="s">
        <v>10</v>
      </c>
      <c r="F28" s="10" t="s">
        <v>11</v>
      </c>
      <c r="G28" s="10" t="s">
        <v>12</v>
      </c>
      <c r="H28" s="10" t="s">
        <v>13</v>
      </c>
      <c r="I28" s="10" t="s">
        <v>14</v>
      </c>
      <c r="J28" s="10" t="s">
        <v>15</v>
      </c>
    </row>
    <row r="29" spans="1:24" x14ac:dyDescent="0.25">
      <c r="D29" t="s">
        <v>16</v>
      </c>
      <c r="E29">
        <v>616.04999999999995</v>
      </c>
      <c r="F29">
        <v>1</v>
      </c>
      <c r="G29">
        <v>616.04999999999995</v>
      </c>
      <c r="H29">
        <v>34.341591824094152</v>
      </c>
      <c r="I29">
        <v>1.5025868232057614E-5</v>
      </c>
      <c r="J29">
        <v>4.4138734191705664</v>
      </c>
    </row>
    <row r="30" spans="1:24" x14ac:dyDescent="0.25">
      <c r="D30" t="s">
        <v>17</v>
      </c>
      <c r="E30">
        <v>322.89999999999998</v>
      </c>
      <c r="F30">
        <v>18</v>
      </c>
      <c r="G30">
        <v>17.938888888888886</v>
      </c>
    </row>
    <row r="32" spans="1:24" ht="15.75" thickBot="1" x14ac:dyDescent="0.3">
      <c r="D32" s="9" t="s">
        <v>18</v>
      </c>
      <c r="E32" s="9">
        <v>938.94999999999993</v>
      </c>
      <c r="F32" s="9">
        <v>19</v>
      </c>
      <c r="G32" s="9"/>
      <c r="H32" s="9"/>
      <c r="I32" s="9"/>
      <c r="J32" s="9"/>
    </row>
    <row r="36" spans="4:10" x14ac:dyDescent="0.25">
      <c r="D36" s="2" t="s">
        <v>19</v>
      </c>
    </row>
    <row r="37" spans="4:10" ht="15.75" thickBot="1" x14ac:dyDescent="0.3"/>
    <row r="38" spans="4:10" x14ac:dyDescent="0.25">
      <c r="D38" s="10" t="s">
        <v>2</v>
      </c>
      <c r="E38" s="10" t="s">
        <v>4</v>
      </c>
      <c r="F38" s="10" t="s">
        <v>5</v>
      </c>
      <c r="G38" s="10" t="s">
        <v>6</v>
      </c>
      <c r="H38" s="10" t="s">
        <v>7</v>
      </c>
    </row>
    <row r="39" spans="4:10" x14ac:dyDescent="0.25">
      <c r="D39" t="s">
        <v>37</v>
      </c>
      <c r="E39">
        <v>2</v>
      </c>
      <c r="F39">
        <v>163</v>
      </c>
      <c r="G39">
        <v>81.5</v>
      </c>
      <c r="H39">
        <v>24.5</v>
      </c>
    </row>
    <row r="40" spans="4:10" x14ac:dyDescent="0.25">
      <c r="D40" t="s">
        <v>40</v>
      </c>
      <c r="E40">
        <v>2</v>
      </c>
      <c r="F40">
        <v>160</v>
      </c>
      <c r="G40">
        <v>80</v>
      </c>
      <c r="H40">
        <v>128</v>
      </c>
    </row>
    <row r="41" spans="4:10" x14ac:dyDescent="0.25">
      <c r="D41" t="s">
        <v>41</v>
      </c>
      <c r="E41">
        <v>2</v>
      </c>
      <c r="F41">
        <v>150</v>
      </c>
      <c r="G41">
        <v>75</v>
      </c>
      <c r="H41">
        <v>72</v>
      </c>
    </row>
    <row r="43" spans="4:10" x14ac:dyDescent="0.25">
      <c r="D43" t="s">
        <v>38</v>
      </c>
      <c r="E43">
        <v>3</v>
      </c>
      <c r="F43">
        <v>219</v>
      </c>
      <c r="G43">
        <v>73</v>
      </c>
      <c r="H43">
        <v>21</v>
      </c>
    </row>
    <row r="44" spans="4:10" ht="15.75" thickBot="1" x14ac:dyDescent="0.3">
      <c r="D44" s="9" t="s">
        <v>39</v>
      </c>
      <c r="E44" s="9">
        <v>3</v>
      </c>
      <c r="F44" s="9">
        <v>254</v>
      </c>
      <c r="G44" s="9">
        <v>84.666666666666671</v>
      </c>
      <c r="H44" s="9">
        <v>12.333333333333332</v>
      </c>
    </row>
    <row r="47" spans="4:10" ht="15.75" thickBot="1" x14ac:dyDescent="0.3">
      <c r="D47" t="s">
        <v>8</v>
      </c>
    </row>
    <row r="48" spans="4:10" x14ac:dyDescent="0.25">
      <c r="D48" s="10" t="s">
        <v>9</v>
      </c>
      <c r="E48" s="10" t="s">
        <v>10</v>
      </c>
      <c r="F48" s="10" t="s">
        <v>11</v>
      </c>
      <c r="G48" s="10" t="s">
        <v>12</v>
      </c>
      <c r="H48" s="10" t="s">
        <v>13</v>
      </c>
      <c r="I48" s="10" t="s">
        <v>14</v>
      </c>
      <c r="J48" s="10" t="s">
        <v>15</v>
      </c>
    </row>
    <row r="49" spans="1:10" x14ac:dyDescent="0.25">
      <c r="D49" t="s">
        <v>20</v>
      </c>
      <c r="E49">
        <v>46.333333333333314</v>
      </c>
      <c r="F49">
        <v>2</v>
      </c>
      <c r="G49">
        <v>23.166666666666657</v>
      </c>
      <c r="H49">
        <v>2.2786885245901618</v>
      </c>
      <c r="I49">
        <v>0.30500000000000022</v>
      </c>
      <c r="J49">
        <v>18.999999999999996</v>
      </c>
    </row>
    <row r="50" spans="1:10" x14ac:dyDescent="0.25">
      <c r="D50" t="s">
        <v>21</v>
      </c>
      <c r="E50">
        <v>204.16666666666666</v>
      </c>
      <c r="F50">
        <v>1</v>
      </c>
      <c r="G50">
        <v>204.16666666666666</v>
      </c>
      <c r="H50">
        <v>20.081967213114744</v>
      </c>
      <c r="I50">
        <v>4.6360466781603743E-2</v>
      </c>
      <c r="J50">
        <v>18.512820512820511</v>
      </c>
    </row>
    <row r="51" spans="1:10" x14ac:dyDescent="0.25">
      <c r="A51" s="2"/>
      <c r="D51" t="s">
        <v>22</v>
      </c>
      <c r="E51">
        <v>20.333333333333343</v>
      </c>
      <c r="F51">
        <v>2</v>
      </c>
      <c r="G51">
        <v>10.166666666666671</v>
      </c>
    </row>
    <row r="53" spans="1:10" ht="15.75" thickBot="1" x14ac:dyDescent="0.3">
      <c r="D53" s="9" t="s">
        <v>18</v>
      </c>
      <c r="E53" s="9">
        <v>270.83333333333331</v>
      </c>
      <c r="F53" s="9">
        <v>5</v>
      </c>
      <c r="G53" s="9"/>
      <c r="H53" s="9"/>
      <c r="I53" s="9"/>
      <c r="J53" s="9"/>
    </row>
    <row r="56" spans="1:10" ht="15.75" thickBot="1" x14ac:dyDescent="0.3">
      <c r="D56" s="8" t="s">
        <v>42</v>
      </c>
      <c r="E56" s="3"/>
      <c r="F56" s="3"/>
      <c r="G56" s="3"/>
      <c r="H56" s="3"/>
    </row>
    <row r="57" spans="1:10" x14ac:dyDescent="0.25">
      <c r="D57" s="10"/>
      <c r="E57" s="10" t="s">
        <v>38</v>
      </c>
      <c r="F57" s="10" t="s">
        <v>39</v>
      </c>
    </row>
    <row r="58" spans="1:10" x14ac:dyDescent="0.25">
      <c r="D58" t="s">
        <v>38</v>
      </c>
      <c r="E58">
        <v>1</v>
      </c>
    </row>
    <row r="59" spans="1:10" ht="15.75" thickBot="1" x14ac:dyDescent="0.3">
      <c r="D59" s="9" t="s">
        <v>39</v>
      </c>
      <c r="E59" s="9">
        <v>0.50452761318571859</v>
      </c>
      <c r="F59" s="9">
        <v>1</v>
      </c>
    </row>
    <row r="61" spans="1:10" ht="15.75" thickBot="1" x14ac:dyDescent="0.3">
      <c r="D61" s="2" t="s">
        <v>23</v>
      </c>
    </row>
    <row r="62" spans="1:10" x14ac:dyDescent="0.25">
      <c r="D62" s="10"/>
      <c r="E62" s="10" t="s">
        <v>38</v>
      </c>
      <c r="F62" s="10" t="s">
        <v>39</v>
      </c>
    </row>
    <row r="63" spans="1:10" x14ac:dyDescent="0.25">
      <c r="D63" t="s">
        <v>38</v>
      </c>
      <c r="E63">
        <f>VARP(Sheet1!$E$7:$E$15)</f>
        <v>15.209876543209877</v>
      </c>
      <c r="G63" s="3"/>
      <c r="H63" s="3"/>
      <c r="I63" s="3"/>
      <c r="J63" s="3"/>
    </row>
    <row r="64" spans="1:10" ht="15.75" thickBot="1" x14ac:dyDescent="0.3">
      <c r="A64" s="2"/>
      <c r="D64" s="9" t="s">
        <v>39</v>
      </c>
      <c r="E64" s="9">
        <v>6.1604938271604928</v>
      </c>
      <c r="F64" s="9">
        <f>VARP(Sheet1!$F$7:$F$15)</f>
        <v>9.80246913580247</v>
      </c>
    </row>
    <row r="66" spans="4:10" ht="15.75" thickBot="1" x14ac:dyDescent="0.3">
      <c r="D66" s="2" t="s">
        <v>35</v>
      </c>
    </row>
    <row r="67" spans="4:10" x14ac:dyDescent="0.25">
      <c r="D67" s="10" t="s">
        <v>38</v>
      </c>
      <c r="E67" s="10"/>
      <c r="F67" s="10" t="s">
        <v>39</v>
      </c>
      <c r="G67" s="10"/>
    </row>
    <row r="69" spans="4:10" x14ac:dyDescent="0.25">
      <c r="D69" t="s">
        <v>24</v>
      </c>
      <c r="E69">
        <v>75.111111111111114</v>
      </c>
      <c r="F69" t="s">
        <v>24</v>
      </c>
      <c r="G69">
        <v>86.555555555555557</v>
      </c>
    </row>
    <row r="70" spans="4:10" x14ac:dyDescent="0.25">
      <c r="D70" t="s">
        <v>25</v>
      </c>
      <c r="E70">
        <v>1.3788526273323172</v>
      </c>
      <c r="F70" t="s">
        <v>25</v>
      </c>
      <c r="G70">
        <v>1.1069366025095153</v>
      </c>
    </row>
    <row r="71" spans="4:10" x14ac:dyDescent="0.25">
      <c r="D71" t="s">
        <v>26</v>
      </c>
      <c r="E71">
        <v>75</v>
      </c>
      <c r="F71" t="s">
        <v>26</v>
      </c>
      <c r="G71">
        <v>87</v>
      </c>
      <c r="H71" s="8"/>
      <c r="I71" s="8"/>
      <c r="J71" s="8"/>
    </row>
    <row r="72" spans="4:10" x14ac:dyDescent="0.25">
      <c r="D72" t="s">
        <v>27</v>
      </c>
      <c r="E72" t="e">
        <v>#N/A</v>
      </c>
      <c r="F72" t="s">
        <v>27</v>
      </c>
      <c r="G72">
        <v>85</v>
      </c>
    </row>
    <row r="73" spans="4:10" x14ac:dyDescent="0.25">
      <c r="D73" t="s">
        <v>28</v>
      </c>
      <c r="E73">
        <v>4.1365578819969517</v>
      </c>
      <c r="F73" t="s">
        <v>28</v>
      </c>
      <c r="G73">
        <v>3.3208098075285459</v>
      </c>
    </row>
    <row r="74" spans="4:10" x14ac:dyDescent="0.25">
      <c r="D74" t="s">
        <v>29</v>
      </c>
      <c r="E74">
        <v>17.111111111111111</v>
      </c>
      <c r="F74" t="s">
        <v>29</v>
      </c>
      <c r="G74">
        <v>11.027777777777779</v>
      </c>
    </row>
    <row r="75" spans="4:10" x14ac:dyDescent="0.25">
      <c r="D75" t="s">
        <v>30</v>
      </c>
      <c r="E75">
        <v>-0.6131755535744392</v>
      </c>
      <c r="F75" t="s">
        <v>30</v>
      </c>
      <c r="G75">
        <v>-0.83772228380721447</v>
      </c>
    </row>
    <row r="76" spans="4:10" x14ac:dyDescent="0.25">
      <c r="D76" t="s">
        <v>31</v>
      </c>
      <c r="E76">
        <v>0.18473005564449813</v>
      </c>
      <c r="F76" t="s">
        <v>31</v>
      </c>
      <c r="G76">
        <v>-0.34046590790153464</v>
      </c>
    </row>
    <row r="77" spans="4:10" x14ac:dyDescent="0.25">
      <c r="D77" t="s">
        <v>32</v>
      </c>
      <c r="E77">
        <v>13</v>
      </c>
      <c r="F77" t="s">
        <v>32</v>
      </c>
      <c r="G77">
        <v>10</v>
      </c>
    </row>
    <row r="78" spans="4:10" x14ac:dyDescent="0.25">
      <c r="D78" t="s">
        <v>33</v>
      </c>
      <c r="E78">
        <v>69</v>
      </c>
      <c r="F78" t="s">
        <v>33</v>
      </c>
      <c r="G78">
        <v>81</v>
      </c>
    </row>
    <row r="79" spans="4:10" x14ac:dyDescent="0.25">
      <c r="D79" t="s">
        <v>34</v>
      </c>
      <c r="E79">
        <v>82</v>
      </c>
      <c r="F79" t="s">
        <v>34</v>
      </c>
      <c r="G79">
        <v>91</v>
      </c>
    </row>
    <row r="80" spans="4:10" x14ac:dyDescent="0.25">
      <c r="D80" t="s">
        <v>5</v>
      </c>
      <c r="E80">
        <v>676</v>
      </c>
      <c r="F80" t="s">
        <v>5</v>
      </c>
      <c r="G80">
        <v>779</v>
      </c>
    </row>
    <row r="81" spans="4:8" x14ac:dyDescent="0.25">
      <c r="D81" t="s">
        <v>4</v>
      </c>
      <c r="E81">
        <v>9</v>
      </c>
      <c r="F81" t="s">
        <v>4</v>
      </c>
      <c r="G81">
        <v>9</v>
      </c>
      <c r="H81" s="8"/>
    </row>
    <row r="82" spans="4:8" x14ac:dyDescent="0.25">
      <c r="D82" t="s">
        <v>43</v>
      </c>
      <c r="E82">
        <v>82</v>
      </c>
      <c r="F82" t="s">
        <v>43</v>
      </c>
      <c r="G82">
        <v>91</v>
      </c>
    </row>
    <row r="83" spans="4:8" x14ac:dyDescent="0.25">
      <c r="D83" t="s">
        <v>44</v>
      </c>
      <c r="E83">
        <v>69</v>
      </c>
      <c r="F83" t="s">
        <v>44</v>
      </c>
      <c r="G83">
        <v>81</v>
      </c>
    </row>
    <row r="84" spans="4:8" ht="15.75" thickBot="1" x14ac:dyDescent="0.3">
      <c r="D84" s="9" t="s">
        <v>45</v>
      </c>
      <c r="E84" s="9">
        <v>3.1796398604654525</v>
      </c>
      <c r="F84" s="9" t="s">
        <v>45</v>
      </c>
      <c r="G84" s="9">
        <v>2.5526003827957928</v>
      </c>
    </row>
    <row r="87" spans="4:8" x14ac:dyDescent="0.25">
      <c r="D87" s="2" t="s">
        <v>46</v>
      </c>
    </row>
    <row r="89" spans="4:8" x14ac:dyDescent="0.25">
      <c r="D89" t="s">
        <v>2</v>
      </c>
      <c r="E89" t="s">
        <v>38</v>
      </c>
      <c r="F89" t="s">
        <v>39</v>
      </c>
      <c r="G89" t="s">
        <v>18</v>
      </c>
    </row>
    <row r="90" spans="4:8" ht="15.75" thickBot="1" x14ac:dyDescent="0.3">
      <c r="D90" s="12" t="s">
        <v>37</v>
      </c>
      <c r="E90" s="12"/>
      <c r="F90" s="12"/>
      <c r="G90" s="12"/>
    </row>
    <row r="91" spans="4:8" x14ac:dyDescent="0.25">
      <c r="D91" s="11" t="s">
        <v>4</v>
      </c>
      <c r="E91" s="11">
        <v>9</v>
      </c>
      <c r="F91" s="11">
        <v>9</v>
      </c>
      <c r="G91" s="11">
        <v>18</v>
      </c>
    </row>
    <row r="92" spans="4:8" x14ac:dyDescent="0.25">
      <c r="D92" s="11" t="s">
        <v>5</v>
      </c>
      <c r="E92" s="11">
        <v>676</v>
      </c>
      <c r="F92" s="11">
        <v>779</v>
      </c>
      <c r="G92" s="11">
        <v>1455</v>
      </c>
    </row>
    <row r="93" spans="4:8" x14ac:dyDescent="0.25">
      <c r="D93" s="11" t="s">
        <v>6</v>
      </c>
      <c r="E93" s="11">
        <v>75.111111111111114</v>
      </c>
      <c r="F93" s="11">
        <v>86.555555555555557</v>
      </c>
      <c r="G93" s="11">
        <v>80.833333333333329</v>
      </c>
    </row>
    <row r="94" spans="4:8" x14ac:dyDescent="0.25">
      <c r="D94" s="11" t="s">
        <v>7</v>
      </c>
      <c r="E94" s="11">
        <v>17.111111111111111</v>
      </c>
      <c r="F94" s="11">
        <v>11.027777777777779</v>
      </c>
      <c r="G94" s="11">
        <v>47.911764705882362</v>
      </c>
    </row>
    <row r="95" spans="4:8" x14ac:dyDescent="0.25">
      <c r="D95" s="11"/>
      <c r="E95" s="11"/>
      <c r="F95" s="11"/>
      <c r="G95" s="11"/>
    </row>
    <row r="96" spans="4:8" ht="15.75" thickBot="1" x14ac:dyDescent="0.3">
      <c r="D96" s="12" t="s">
        <v>18</v>
      </c>
      <c r="E96" s="12"/>
      <c r="F96" s="12"/>
    </row>
    <row r="97" spans="4:10" x14ac:dyDescent="0.25">
      <c r="D97" s="11" t="s">
        <v>4</v>
      </c>
      <c r="E97" s="11">
        <v>9</v>
      </c>
      <c r="F97" s="11">
        <v>9</v>
      </c>
    </row>
    <row r="98" spans="4:10" x14ac:dyDescent="0.25">
      <c r="D98" s="11" t="s">
        <v>5</v>
      </c>
      <c r="E98" s="11">
        <v>676</v>
      </c>
      <c r="F98" s="11">
        <v>779</v>
      </c>
    </row>
    <row r="99" spans="4:10" x14ac:dyDescent="0.25">
      <c r="D99" s="11" t="s">
        <v>6</v>
      </c>
      <c r="E99" s="11">
        <v>75.111111111111114</v>
      </c>
      <c r="F99" s="11">
        <v>86.555555555555557</v>
      </c>
    </row>
    <row r="100" spans="4:10" x14ac:dyDescent="0.25">
      <c r="D100" s="11" t="s">
        <v>7</v>
      </c>
      <c r="E100" s="11">
        <v>17.111111111111111</v>
      </c>
      <c r="F100" s="11">
        <v>11.027777777777779</v>
      </c>
    </row>
    <row r="101" spans="4:10" x14ac:dyDescent="0.25">
      <c r="D101" s="11"/>
      <c r="E101" s="11"/>
      <c r="F101" s="11"/>
    </row>
    <row r="103" spans="4:10" ht="15.75" thickBot="1" x14ac:dyDescent="0.3">
      <c r="D103" t="s">
        <v>8</v>
      </c>
    </row>
    <row r="104" spans="4:10" x14ac:dyDescent="0.25">
      <c r="D104" s="14" t="s">
        <v>9</v>
      </c>
      <c r="E104" s="14" t="s">
        <v>10</v>
      </c>
      <c r="F104" s="14" t="s">
        <v>11</v>
      </c>
      <c r="G104" s="14" t="s">
        <v>12</v>
      </c>
      <c r="H104" s="14" t="s">
        <v>13</v>
      </c>
      <c r="I104" s="14" t="s">
        <v>14</v>
      </c>
      <c r="J104" s="14" t="s">
        <v>15</v>
      </c>
    </row>
    <row r="105" spans="4:10" x14ac:dyDescent="0.25">
      <c r="D105" s="11" t="s">
        <v>47</v>
      </c>
      <c r="E105" s="11">
        <v>0</v>
      </c>
      <c r="F105" s="11">
        <v>0</v>
      </c>
      <c r="G105" s="11">
        <v>65535</v>
      </c>
      <c r="H105" s="11">
        <v>65535</v>
      </c>
      <c r="I105" s="11" t="e">
        <v>#NUM!</v>
      </c>
      <c r="J105" s="11" t="e">
        <v>#NUM!</v>
      </c>
    </row>
    <row r="106" spans="4:10" x14ac:dyDescent="0.25">
      <c r="D106" s="11" t="s">
        <v>21</v>
      </c>
      <c r="E106" s="11">
        <v>589.38888888888903</v>
      </c>
      <c r="F106" s="11">
        <v>1</v>
      </c>
      <c r="G106" s="11">
        <v>589.38888888888903</v>
      </c>
      <c r="H106" s="11">
        <v>41.891411648568621</v>
      </c>
      <c r="I106" s="11">
        <v>7.7014485691826779E-6</v>
      </c>
      <c r="J106" s="11">
        <v>4.4939984776663584</v>
      </c>
    </row>
    <row r="107" spans="4:10" x14ac:dyDescent="0.25">
      <c r="D107" s="11" t="s">
        <v>48</v>
      </c>
      <c r="E107" s="11">
        <v>-2.8421709430404007E-14</v>
      </c>
      <c r="F107" s="11">
        <v>0</v>
      </c>
      <c r="G107" s="11">
        <v>65535</v>
      </c>
      <c r="H107" s="11">
        <v>65535</v>
      </c>
      <c r="I107" s="11" t="e">
        <v>#NUM!</v>
      </c>
      <c r="J107" s="11" t="e">
        <v>#NUM!</v>
      </c>
    </row>
    <row r="108" spans="4:10" x14ac:dyDescent="0.25">
      <c r="D108" s="11" t="s">
        <v>49</v>
      </c>
      <c r="E108" s="11">
        <v>225.11111111111111</v>
      </c>
      <c r="F108" s="11">
        <v>16</v>
      </c>
      <c r="G108" s="11">
        <v>14.069444444444445</v>
      </c>
      <c r="H108" s="11"/>
      <c r="I108" s="11"/>
      <c r="J108" s="11"/>
    </row>
    <row r="109" spans="4:10" x14ac:dyDescent="0.25">
      <c r="D109" s="11"/>
      <c r="E109" s="11"/>
      <c r="F109" s="11"/>
      <c r="G109" s="11"/>
      <c r="H109" s="11"/>
      <c r="I109" s="11"/>
      <c r="J109" s="11"/>
    </row>
    <row r="110" spans="4:10" ht="15.75" thickBot="1" x14ac:dyDescent="0.3">
      <c r="D110" s="13" t="s">
        <v>18</v>
      </c>
      <c r="E110" s="13">
        <v>814.50000000000011</v>
      </c>
      <c r="F110" s="13">
        <v>17</v>
      </c>
      <c r="G110" s="13"/>
      <c r="H110" s="13"/>
      <c r="I110" s="13"/>
      <c r="J110" s="13"/>
    </row>
    <row r="111" spans="4:10" x14ac:dyDescent="0.25">
      <c r="D111" s="2"/>
    </row>
    <row r="112" spans="4:10" x14ac:dyDescent="0.25">
      <c r="D112" s="8"/>
      <c r="E112" s="8"/>
      <c r="F112" s="8"/>
      <c r="G112" s="8"/>
      <c r="H112" s="8"/>
      <c r="I112" s="8"/>
    </row>
    <row r="186" spans="4:8" x14ac:dyDescent="0.25">
      <c r="D186" s="2"/>
    </row>
    <row r="188" spans="4:8" x14ac:dyDescent="0.25">
      <c r="D188" s="8"/>
      <c r="E188" s="8"/>
      <c r="F188" s="8"/>
      <c r="G188" s="8"/>
      <c r="H188" s="8"/>
    </row>
    <row r="205" spans="4:10" x14ac:dyDescent="0.25">
      <c r="D205" s="8"/>
      <c r="E205" s="8"/>
      <c r="F205" s="8"/>
      <c r="G205" s="8"/>
      <c r="H205" s="8"/>
      <c r="I205" s="8"/>
      <c r="J205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2026-06-05T04:19:48Z</dcterms:created>
  <dcterms:modified xsi:type="dcterms:W3CDTF">2026-06-06T04:54:17Z</dcterms:modified>
</cp:coreProperties>
</file>