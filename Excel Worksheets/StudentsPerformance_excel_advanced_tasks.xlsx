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B33705A9-1EF1-429D-A49F-A13F7BBC3C97}" xr6:coauthVersionLast="47" xr6:coauthVersionMax="47" xr10:uidLastSave="{00000000-0000-0000-0000-000000000000}"/>
  <bookViews>
    <workbookView xWindow="-120" yWindow="-120" windowWidth="29040" windowHeight="15720" xr2:uid="{5E691584-18A0-4016-A536-E70CC1A12ECD}"/>
  </bookViews>
  <sheets>
    <sheet name="StudentsPerformance_excel_tasks" sheetId="1" r:id="rId1"/>
  </sheets>
  <calcPr calcId="191029"/>
  <pivotCaches>
    <pivotCache cacheId="10" r:id="rId2"/>
    <pivotCache cacheId="7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62" i="1" l="1"/>
  <c r="K1056" i="1" a="1"/>
  <c r="K1056" i="1" s="1"/>
  <c r="V1046" i="1"/>
  <c r="V1047" i="1"/>
  <c r="V1048" i="1"/>
  <c r="V1049" i="1"/>
  <c r="V1050" i="1"/>
  <c r="V1045" i="1"/>
  <c r="L1035" i="1" a="1"/>
  <c r="L1035" i="1" s="1"/>
  <c r="U1050" i="1"/>
  <c r="U1047" i="1"/>
  <c r="U1048" i="1"/>
  <c r="U1049" i="1"/>
  <c r="U1046" i="1"/>
  <c r="U1045" i="1"/>
  <c r="S1050" i="1"/>
  <c r="S1048" i="1"/>
  <c r="S1049" i="1"/>
  <c r="S1047" i="1"/>
  <c r="S1046" i="1"/>
  <c r="S1045" i="1"/>
  <c r="T1048" i="1"/>
  <c r="T1045" i="1"/>
  <c r="T1046" i="1"/>
  <c r="T1047" i="1"/>
  <c r="T1049" i="1"/>
  <c r="T1050" i="1"/>
  <c r="Q1046" i="1"/>
  <c r="Q1047" i="1"/>
  <c r="Q1048" i="1"/>
  <c r="Q1049" i="1"/>
  <c r="Q1050" i="1"/>
  <c r="Q1045" i="1"/>
  <c r="P1046" i="1"/>
  <c r="R1046" i="1" s="1"/>
  <c r="P1047" i="1"/>
  <c r="P1048" i="1"/>
  <c r="P1049" i="1"/>
  <c r="P1050" i="1"/>
  <c r="P1045" i="1"/>
  <c r="O1046" i="1"/>
  <c r="O1047" i="1"/>
  <c r="O1048" i="1"/>
  <c r="O1049" i="1"/>
  <c r="O1050" i="1"/>
  <c r="O1045" i="1"/>
  <c r="N1050" i="1"/>
  <c r="N1046" i="1"/>
  <c r="N1047" i="1"/>
  <c r="N1048" i="1"/>
  <c r="N1049" i="1"/>
  <c r="N1045" i="1"/>
  <c r="M1048" i="1"/>
  <c r="M1046" i="1"/>
  <c r="M1047" i="1"/>
  <c r="M1049" i="1"/>
  <c r="M1050" i="1"/>
  <c r="M1045" i="1"/>
  <c r="T1036" i="1"/>
  <c r="T1035" i="1"/>
  <c r="T1034" i="1"/>
  <c r="R1030" i="1"/>
  <c r="R1029" i="1"/>
  <c r="O1030" i="1"/>
  <c r="O1029" i="1"/>
  <c r="K1030" i="1"/>
  <c r="K1029" i="1"/>
  <c r="P1025" i="1"/>
  <c r="P1024" i="1"/>
  <c r="L1026" i="1"/>
  <c r="L1025" i="1"/>
  <c r="R1050" i="1" l="1"/>
  <c r="R1049" i="1"/>
  <c r="R1048" i="1"/>
  <c r="R1047" i="1"/>
  <c r="R104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<sst xmlns="http://schemas.openxmlformats.org/spreadsheetml/2006/main" count="7413" uniqueCount="152">
  <si>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</si>
  <si>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</si>
  <si>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</si>
  <si>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</si>
  <si>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</si>
  <si>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</si>
  <si>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</si>
  <si>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</si>
  <si>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Round</t>
  </si>
  <si>
    <t>sqrt</t>
  </si>
  <si>
    <t>min</t>
  </si>
  <si>
    <t>max</t>
  </si>
  <si>
    <t>sum</t>
  </si>
  <si>
    <t>average</t>
  </si>
  <si>
    <t>median</t>
  </si>
  <si>
    <t>rank</t>
  </si>
  <si>
    <t>round(sqrt)</t>
  </si>
  <si>
    <t>left</t>
  </si>
  <si>
    <t>right</t>
  </si>
  <si>
    <t>length</t>
  </si>
  <si>
    <t>female</t>
  </si>
  <si>
    <t>group B</t>
  </si>
  <si>
    <t>bachelor's degree</t>
  </si>
  <si>
    <t>standard</t>
  </si>
  <si>
    <t>none</t>
  </si>
  <si>
    <t>bache</t>
  </si>
  <si>
    <t>degree</t>
  </si>
  <si>
    <t>group C</t>
  </si>
  <si>
    <t>some college</t>
  </si>
  <si>
    <t>completed</t>
  </si>
  <si>
    <t xml:space="preserve">some </t>
  </si>
  <si>
    <t>ollege</t>
  </si>
  <si>
    <t>master's degree</t>
  </si>
  <si>
    <t>maste</t>
  </si>
  <si>
    <t>male</t>
  </si>
  <si>
    <t>group A</t>
  </si>
  <si>
    <t>associate's degree</t>
  </si>
  <si>
    <t>free/reduced</t>
  </si>
  <si>
    <t>assoc</t>
  </si>
  <si>
    <t>group D</t>
  </si>
  <si>
    <t>high school</t>
  </si>
  <si>
    <t xml:space="preserve">high </t>
  </si>
  <si>
    <t>school</t>
  </si>
  <si>
    <t>Column1</t>
  </si>
  <si>
    <t>Column2</t>
  </si>
  <si>
    <t>Column3</t>
  </si>
  <si>
    <t>Find(Apple)</t>
  </si>
  <si>
    <t>Date Time</t>
  </si>
  <si>
    <t>Today</t>
  </si>
  <si>
    <t>Replace</t>
  </si>
  <si>
    <t>some high school</t>
  </si>
  <si>
    <t>Eomonth</t>
  </si>
  <si>
    <t>cab-2005-1</t>
  </si>
  <si>
    <t>Substitute</t>
  </si>
  <si>
    <t>Network Days</t>
  </si>
  <si>
    <t>abc-2004-001</t>
  </si>
  <si>
    <t>Mid</t>
  </si>
  <si>
    <t>weekday</t>
  </si>
  <si>
    <t>Search</t>
  </si>
  <si>
    <t>year</t>
  </si>
  <si>
    <t>month</t>
  </si>
  <si>
    <t>day</t>
  </si>
  <si>
    <t>concat</t>
  </si>
  <si>
    <t>degreeollege</t>
  </si>
  <si>
    <t>group E</t>
  </si>
  <si>
    <t>Product</t>
  </si>
  <si>
    <t>Factorial</t>
  </si>
  <si>
    <t>Mod</t>
  </si>
  <si>
    <t xml:space="preserve">    </t>
  </si>
  <si>
    <t>Date</t>
  </si>
  <si>
    <t>Color</t>
  </si>
  <si>
    <t>Region</t>
  </si>
  <si>
    <t>Value</t>
  </si>
  <si>
    <t>Column4</t>
  </si>
  <si>
    <t>Mouse</t>
  </si>
  <si>
    <t>Red</t>
  </si>
  <si>
    <t>AP</t>
  </si>
  <si>
    <t>Average/Mean</t>
  </si>
  <si>
    <t>Keyboard</t>
  </si>
  <si>
    <t>Blue</t>
  </si>
  <si>
    <t>MH</t>
  </si>
  <si>
    <t>Median</t>
  </si>
  <si>
    <t>Mode</t>
  </si>
  <si>
    <t>Total/AVG</t>
  </si>
  <si>
    <t>Range</t>
  </si>
  <si>
    <t>Yellow</t>
  </si>
  <si>
    <t>Max</t>
  </si>
  <si>
    <t>Red+AP</t>
  </si>
  <si>
    <t>Min</t>
  </si>
  <si>
    <t>Total</t>
  </si>
  <si>
    <t>Red+AP+Mouse</t>
  </si>
  <si>
    <t>Variance</t>
  </si>
  <si>
    <t>Standard Deviation</t>
  </si>
  <si>
    <t>Correlation</t>
  </si>
  <si>
    <t>Student ID</t>
  </si>
  <si>
    <t>Name</t>
  </si>
  <si>
    <t>Branch</t>
  </si>
  <si>
    <t>Marks</t>
  </si>
  <si>
    <t>Ravi</t>
  </si>
  <si>
    <t>CSE</t>
  </si>
  <si>
    <t>Priya</t>
  </si>
  <si>
    <t>ECE</t>
  </si>
  <si>
    <t>Kiran</t>
  </si>
  <si>
    <t>MECH</t>
  </si>
  <si>
    <t>Sita</t>
  </si>
  <si>
    <t>Ajay</t>
  </si>
  <si>
    <t>EEE</t>
  </si>
  <si>
    <t>Vlookup</t>
  </si>
  <si>
    <t>kiran</t>
  </si>
  <si>
    <t>sita</t>
  </si>
  <si>
    <t>Hlookup</t>
  </si>
  <si>
    <t>Match</t>
  </si>
  <si>
    <t>Index</t>
  </si>
  <si>
    <t>Xlookup</t>
  </si>
  <si>
    <t>vlookup</t>
  </si>
  <si>
    <t>index</t>
  </si>
  <si>
    <t>Result</t>
  </si>
  <si>
    <t>A</t>
  </si>
  <si>
    <t>B</t>
  </si>
  <si>
    <t>C</t>
  </si>
  <si>
    <t>D</t>
  </si>
  <si>
    <t>E</t>
  </si>
  <si>
    <t>F</t>
  </si>
  <si>
    <t>Pass</t>
  </si>
  <si>
    <t>Fail</t>
  </si>
  <si>
    <t>Status</t>
  </si>
  <si>
    <t>IF CONDITION</t>
  </si>
  <si>
    <t>Grade</t>
  </si>
  <si>
    <t>And</t>
  </si>
  <si>
    <t>Column5</t>
  </si>
  <si>
    <t>OR</t>
  </si>
  <si>
    <t>Column6</t>
  </si>
  <si>
    <t>NOT</t>
  </si>
  <si>
    <t>Column7</t>
  </si>
  <si>
    <t>XOR</t>
  </si>
  <si>
    <t>Column8</t>
  </si>
  <si>
    <t>Column9</t>
  </si>
  <si>
    <t>IsBlank</t>
  </si>
  <si>
    <t>Column10</t>
  </si>
  <si>
    <t>IsError</t>
  </si>
  <si>
    <t>IsNumber</t>
  </si>
  <si>
    <t>Column11</t>
  </si>
  <si>
    <t>If Error</t>
  </si>
  <si>
    <t>Column12</t>
  </si>
  <si>
    <t>Formatting Cells</t>
  </si>
  <si>
    <t>Custom Formatting</t>
  </si>
  <si>
    <t>Total Score</t>
  </si>
  <si>
    <t>Conditional Formatting</t>
  </si>
  <si>
    <t>Charts in Excel</t>
  </si>
  <si>
    <t>Count of gender</t>
  </si>
  <si>
    <t>Sum of math score</t>
  </si>
  <si>
    <t>Count of test preparation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</si>
</sst>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#,###,&quot;Negative&quot;"/>
    <numFmt numFmtId="166" formatCode="#,##0.00;[Red]&quot;Negative&quot;\-#,##0.00"/>
    <numFmt numFmtId="167" formatCode="\-#,##0&quot;Negative&quot;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5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3" fillId="33" borderId="10" xfId="0" applyFont="1" applyFill="1" applyBorder="1" applyAlignment="1">
      <alignment horizontal="center" vertical="center" wrapText="1"/>
    </xf>
    <xf numFmtId="0" fontId="13" fillId="33" borderId="11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vertical="center" wrapText="1"/>
    </xf>
    <xf numFmtId="0" fontId="0" fillId="34" borderId="11" xfId="0" applyFill="1" applyBorder="1" applyAlignment="1">
      <alignment vertical="center" wrapText="1"/>
    </xf>
    <xf numFmtId="0" fontId="0" fillId="34" borderId="12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/>
    <xf numFmtId="0" fontId="18" fillId="35" borderId="0" xfId="0" applyFont="1" applyFill="1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justify"/>
    </xf>
    <xf numFmtId="0" fontId="20" fillId="36" borderId="13" xfId="0" applyFont="1" applyFill="1" applyBorder="1"/>
    <xf numFmtId="0" fontId="20" fillId="36" borderId="14" xfId="0" applyFont="1" applyFill="1" applyBorder="1"/>
    <xf numFmtId="0" fontId="0" fillId="0" borderId="15" xfId="0" applyBorder="1" applyAlignment="1">
      <alignment horizontal="center" vertical="justify"/>
    </xf>
    <xf numFmtId="0" fontId="0" fillId="0" borderId="16" xfId="0" applyBorder="1" applyAlignment="1">
      <alignment horizontal="center" vertical="justify"/>
    </xf>
    <xf numFmtId="0" fontId="0" fillId="0" borderId="17" xfId="0" applyBorder="1" applyAlignment="1">
      <alignment horizontal="center" vertical="justify"/>
    </xf>
    <xf numFmtId="0" fontId="0" fillId="0" borderId="18" xfId="0" applyBorder="1" applyAlignment="1">
      <alignment horizontal="center" vertical="justify"/>
    </xf>
    <xf numFmtId="0" fontId="21" fillId="36" borderId="0" xfId="0" applyFont="1" applyFill="1"/>
    <xf numFmtId="164" fontId="0" fillId="0" borderId="0" xfId="0" applyNumberFormat="1"/>
    <xf numFmtId="0" fontId="16" fillId="0" borderId="13" xfId="0" applyFont="1" applyBorder="1" applyAlignment="1">
      <alignment horizontal="center" vertical="justify"/>
    </xf>
    <xf numFmtId="10" fontId="0" fillId="0" borderId="0" xfId="0" applyNumberFormat="1"/>
    <xf numFmtId="10" fontId="0" fillId="37" borderId="0" xfId="0" applyNumberFormat="1" applyFill="1"/>
    <xf numFmtId="0" fontId="16" fillId="0" borderId="13" xfId="0" applyFont="1" applyBorder="1"/>
    <xf numFmtId="1" fontId="0" fillId="0" borderId="13" xfId="0" applyNumberFormat="1" applyBorder="1"/>
    <xf numFmtId="166" fontId="0" fillId="0" borderId="13" xfId="0" applyNumberFormat="1" applyBorder="1"/>
    <xf numFmtId="0" fontId="22" fillId="38" borderId="0" xfId="0" applyFont="1" applyFill="1"/>
    <xf numFmtId="0" fontId="16" fillId="0" borderId="19" xfId="0" applyFont="1" applyBorder="1"/>
    <xf numFmtId="0" fontId="0" fillId="0" borderId="19" xfId="0" applyBorder="1"/>
    <xf numFmtId="0" fontId="16" fillId="0" borderId="14" xfId="0" applyFont="1" applyBorder="1"/>
    <xf numFmtId="0" fontId="16" fillId="0" borderId="20" xfId="0" applyFont="1" applyBorder="1"/>
    <xf numFmtId="0" fontId="16" fillId="0" borderId="21" xfId="0" applyFont="1" applyBorder="1"/>
    <xf numFmtId="0" fontId="16" fillId="0" borderId="22" xfId="0" applyFont="1" applyBorder="1"/>
    <xf numFmtId="0" fontId="0" fillId="0" borderId="23" xfId="0" applyBorder="1"/>
    <xf numFmtId="0" fontId="0" fillId="0" borderId="15" xfId="0" applyBorder="1"/>
    <xf numFmtId="0" fontId="16" fillId="38" borderId="0" xfId="0" applyFont="1" applyFill="1"/>
    <xf numFmtId="3" fontId="0" fillId="0" borderId="14" xfId="0" applyNumberFormat="1" applyBorder="1"/>
    <xf numFmtId="37" fontId="0" fillId="0" borderId="14" xfId="0" applyNumberFormat="1" applyBorder="1"/>
    <xf numFmtId="39" fontId="0" fillId="0" borderId="14" xfId="0" applyNumberFormat="1" applyBorder="1"/>
    <xf numFmtId="167" fontId="0" fillId="0" borderId="14" xfId="0" applyNumberFormat="1" applyBorder="1"/>
    <xf numFmtId="2" fontId="0" fillId="0" borderId="14" xfId="0" applyNumberFormat="1" applyBorder="1"/>
    <xf numFmtId="165" fontId="0" fillId="0" borderId="24" xfId="0" applyNumberFormat="1" applyBorder="1"/>
    <xf numFmtId="0" fontId="16" fillId="0" borderId="23" xfId="0" applyFont="1" applyBorder="1"/>
    <xf numFmtId="0" fontId="16" fillId="0" borderId="15" xfId="0" applyFont="1" applyBorder="1"/>
    <xf numFmtId="0" fontId="16" fillId="0" borderId="24" xfId="0" applyFont="1" applyBorder="1"/>
    <xf numFmtId="0" fontId="16" fillId="39" borderId="0" xfId="0" applyFont="1" applyFill="1"/>
    <xf numFmtId="0" fontId="0" fillId="0" borderId="0" xfId="0" pivotButton="1"/>
    <xf numFmtId="0" fontId="0" fillId="0" borderId="0" xfId="0" applyNumberFormat="1"/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8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64" formatCode="[$-F800]dddd\,\ mmmm\ dd\,\ yyyy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ANALYSING</a:t>
            </a:r>
            <a:r>
              <a:rPr lang="en-IN" baseline="0"/>
              <a:t> SCORES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StudentsPerformance_excel_tasks!$P$1100</c:f>
              <c:strCache>
                <c:ptCount val="1"/>
                <c:pt idx="0">
                  <c:v>math score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StudentsPerformance_excel_tasks!$K$1101:$K$1114</c:f>
              <c:strCache>
                <c:ptCount val="14"/>
                <c:pt idx="0">
                  <c:v>female</c:v>
                </c:pt>
                <c:pt idx="1">
                  <c:v>female</c:v>
                </c:pt>
                <c:pt idx="2">
                  <c:v>female</c:v>
                </c:pt>
                <c:pt idx="3">
                  <c:v>male</c:v>
                </c:pt>
                <c:pt idx="4">
                  <c:v>male</c:v>
                </c:pt>
                <c:pt idx="5">
                  <c:v>female</c:v>
                </c:pt>
                <c:pt idx="6">
                  <c:v>female</c:v>
                </c:pt>
                <c:pt idx="7">
                  <c:v>male</c:v>
                </c:pt>
                <c:pt idx="8">
                  <c:v>male</c:v>
                </c:pt>
                <c:pt idx="9">
                  <c:v>female</c:v>
                </c:pt>
                <c:pt idx="10">
                  <c:v>male</c:v>
                </c:pt>
                <c:pt idx="11">
                  <c:v>male</c:v>
                </c:pt>
                <c:pt idx="12">
                  <c:v>female</c:v>
                </c:pt>
                <c:pt idx="13">
                  <c:v>male</c:v>
                </c:pt>
              </c:strCache>
            </c:strRef>
          </c:cat>
          <c:val>
            <c:numRef>
              <c:f>StudentsPerformance_excel_tasks!$P$1101:$P$1114</c:f>
              <c:numCache>
                <c:formatCode>General</c:formatCode>
                <c:ptCount val="14"/>
                <c:pt idx="0">
                  <c:v>72</c:v>
                </c:pt>
                <c:pt idx="1">
                  <c:v>69</c:v>
                </c:pt>
                <c:pt idx="2">
                  <c:v>90</c:v>
                </c:pt>
                <c:pt idx="3">
                  <c:v>47</c:v>
                </c:pt>
                <c:pt idx="4">
                  <c:v>76</c:v>
                </c:pt>
                <c:pt idx="5">
                  <c:v>71</c:v>
                </c:pt>
                <c:pt idx="6">
                  <c:v>88</c:v>
                </c:pt>
                <c:pt idx="7">
                  <c:v>40</c:v>
                </c:pt>
                <c:pt idx="8">
                  <c:v>64</c:v>
                </c:pt>
                <c:pt idx="9">
                  <c:v>38</c:v>
                </c:pt>
                <c:pt idx="10">
                  <c:v>58</c:v>
                </c:pt>
                <c:pt idx="11">
                  <c:v>40</c:v>
                </c:pt>
                <c:pt idx="12">
                  <c:v>65</c:v>
                </c:pt>
                <c:pt idx="1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3-4E0C-9E5A-7C875956277B}"/>
            </c:ext>
          </c:extLst>
        </c:ser>
        <c:ser>
          <c:idx val="1"/>
          <c:order val="1"/>
          <c:tx>
            <c:strRef>
              <c:f>StudentsPerformance_excel_tasks!$Q$1100</c:f>
              <c:strCache>
                <c:ptCount val="1"/>
                <c:pt idx="0">
                  <c:v>reading score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StudentsPerformance_excel_tasks!$K$1101:$K$1114</c:f>
              <c:strCache>
                <c:ptCount val="14"/>
                <c:pt idx="0">
                  <c:v>female</c:v>
                </c:pt>
                <c:pt idx="1">
                  <c:v>female</c:v>
                </c:pt>
                <c:pt idx="2">
                  <c:v>female</c:v>
                </c:pt>
                <c:pt idx="3">
                  <c:v>male</c:v>
                </c:pt>
                <c:pt idx="4">
                  <c:v>male</c:v>
                </c:pt>
                <c:pt idx="5">
                  <c:v>female</c:v>
                </c:pt>
                <c:pt idx="6">
                  <c:v>female</c:v>
                </c:pt>
                <c:pt idx="7">
                  <c:v>male</c:v>
                </c:pt>
                <c:pt idx="8">
                  <c:v>male</c:v>
                </c:pt>
                <c:pt idx="9">
                  <c:v>female</c:v>
                </c:pt>
                <c:pt idx="10">
                  <c:v>male</c:v>
                </c:pt>
                <c:pt idx="11">
                  <c:v>male</c:v>
                </c:pt>
                <c:pt idx="12">
                  <c:v>female</c:v>
                </c:pt>
                <c:pt idx="13">
                  <c:v>male</c:v>
                </c:pt>
              </c:strCache>
            </c:strRef>
          </c:cat>
          <c:val>
            <c:numRef>
              <c:f>StudentsPerformance_excel_tasks!$Q$1101:$Q$1114</c:f>
              <c:numCache>
                <c:formatCode>General</c:formatCode>
                <c:ptCount val="14"/>
                <c:pt idx="0">
                  <c:v>72</c:v>
                </c:pt>
                <c:pt idx="1">
                  <c:v>90</c:v>
                </c:pt>
                <c:pt idx="2">
                  <c:v>95</c:v>
                </c:pt>
                <c:pt idx="3">
                  <c:v>57</c:v>
                </c:pt>
                <c:pt idx="4">
                  <c:v>78</c:v>
                </c:pt>
                <c:pt idx="5">
                  <c:v>83</c:v>
                </c:pt>
                <c:pt idx="6">
                  <c:v>95</c:v>
                </c:pt>
                <c:pt idx="7">
                  <c:v>43</c:v>
                </c:pt>
                <c:pt idx="8">
                  <c:v>64</c:v>
                </c:pt>
                <c:pt idx="9">
                  <c:v>60</c:v>
                </c:pt>
                <c:pt idx="10">
                  <c:v>54</c:v>
                </c:pt>
                <c:pt idx="11">
                  <c:v>52</c:v>
                </c:pt>
                <c:pt idx="12">
                  <c:v>81</c:v>
                </c:pt>
                <c:pt idx="13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23-4E0C-9E5A-7C875956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067082815"/>
        <c:axId val="1067080415"/>
      </c:barChart>
      <c:catAx>
        <c:axId val="106708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80415"/>
        <c:crosses val="autoZero"/>
        <c:auto val="1"/>
        <c:lblAlgn val="ctr"/>
        <c:lblOffset val="100"/>
        <c:noMultiLvlLbl val="0"/>
      </c:catAx>
      <c:valAx>
        <c:axId val="1067080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8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test preparation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completed</c:v>
              </c:pt>
              <c:pt idx="1">
                <c:v>none</c:v>
              </c:pt>
            </c:strLit>
          </c:cat>
          <c:val>
            <c:numLit>
              <c:formatCode>General</c:formatCode>
              <c:ptCount val="2"/>
              <c:pt idx="0">
                <c:v>4</c:v>
              </c:pt>
              <c:pt idx="1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ACC5-46A8-A7CD-1FB78A9F8FE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67087135"/>
        <c:axId val="1067079455"/>
      </c:barChart>
      <c:catAx>
        <c:axId val="106708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79455"/>
        <c:crosses val="autoZero"/>
        <c:auto val="1"/>
        <c:lblAlgn val="ctr"/>
        <c:lblOffset val="100"/>
        <c:noMultiLvlLbl val="0"/>
      </c:catAx>
      <c:valAx>
        <c:axId val="106707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8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Count of gender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7</c:v>
              </c:pt>
              <c:pt idx="1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E814-4AD7-BABE-EDABDD8CA851}"/>
            </c:ext>
          </c:extLst>
        </c:ser>
        <c:ser>
          <c:idx val="1"/>
          <c:order val="1"/>
          <c:tx>
            <c:v>Sum of math score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493</c:v>
              </c:pt>
              <c:pt idx="1">
                <c:v>403</c:v>
              </c:pt>
            </c:numLit>
          </c:val>
          <c:extLst>
            <c:ext xmlns:c16="http://schemas.microsoft.com/office/drawing/2014/chart" uri="{C3380CC4-5D6E-409C-BE32-E72D297353CC}">
              <c16:uniqueId val="{00000001-E814-4AD7-BABE-EDABDD8CA8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11066015"/>
        <c:axId val="811076095"/>
      </c:barChart>
      <c:catAx>
        <c:axId val="81106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076095"/>
        <c:crosses val="autoZero"/>
        <c:auto val="1"/>
        <c:lblAlgn val="ctr"/>
        <c:lblOffset val="100"/>
        <c:noMultiLvlLbl val="0"/>
      </c:catAx>
      <c:valAx>
        <c:axId val="81107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06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StudentsPerformance_excel_tasks!$Q$1100</c:f>
              <c:strCache>
                <c:ptCount val="1"/>
                <c:pt idx="0">
                  <c:v>reading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StudentsPerformance_excel_tasks!$L$1101:$L$1114</c:f>
              <c:strCache>
                <c:ptCount val="14"/>
                <c:pt idx="0">
                  <c:v>group B</c:v>
                </c:pt>
                <c:pt idx="1">
                  <c:v>group C</c:v>
                </c:pt>
                <c:pt idx="2">
                  <c:v>group B</c:v>
                </c:pt>
                <c:pt idx="3">
                  <c:v>group A</c:v>
                </c:pt>
                <c:pt idx="4">
                  <c:v>group C</c:v>
                </c:pt>
                <c:pt idx="5">
                  <c:v>group B</c:v>
                </c:pt>
                <c:pt idx="6">
                  <c:v>group B</c:v>
                </c:pt>
                <c:pt idx="7">
                  <c:v>group B</c:v>
                </c:pt>
                <c:pt idx="8">
                  <c:v>group D</c:v>
                </c:pt>
                <c:pt idx="9">
                  <c:v>group B</c:v>
                </c:pt>
                <c:pt idx="10">
                  <c:v>group C</c:v>
                </c:pt>
                <c:pt idx="11">
                  <c:v>group D</c:v>
                </c:pt>
                <c:pt idx="12">
                  <c:v>group B</c:v>
                </c:pt>
                <c:pt idx="13">
                  <c:v>group A</c:v>
                </c:pt>
              </c:strCache>
            </c:strRef>
          </c:cat>
          <c:val>
            <c:numRef>
              <c:f>StudentsPerformance_excel_tasks!$Q$1101:$Q$1114</c:f>
              <c:numCache>
                <c:formatCode>General</c:formatCode>
                <c:ptCount val="14"/>
                <c:pt idx="0">
                  <c:v>72</c:v>
                </c:pt>
                <c:pt idx="1">
                  <c:v>90</c:v>
                </c:pt>
                <c:pt idx="2">
                  <c:v>95</c:v>
                </c:pt>
                <c:pt idx="3">
                  <c:v>57</c:v>
                </c:pt>
                <c:pt idx="4">
                  <c:v>78</c:v>
                </c:pt>
                <c:pt idx="5">
                  <c:v>83</c:v>
                </c:pt>
                <c:pt idx="6">
                  <c:v>95</c:v>
                </c:pt>
                <c:pt idx="7">
                  <c:v>43</c:v>
                </c:pt>
                <c:pt idx="8">
                  <c:v>64</c:v>
                </c:pt>
                <c:pt idx="9">
                  <c:v>60</c:v>
                </c:pt>
                <c:pt idx="10">
                  <c:v>54</c:v>
                </c:pt>
                <c:pt idx="11">
                  <c:v>52</c:v>
                </c:pt>
                <c:pt idx="12">
                  <c:v>81</c:v>
                </c:pt>
                <c:pt idx="1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74-4FA6-8D93-637B25413AB8}"/>
            </c:ext>
          </c:extLst>
        </c:ser>
        <c:ser>
          <c:idx val="1"/>
          <c:order val="1"/>
          <c:tx>
            <c:strRef>
              <c:f>StudentsPerformance_excel_tasks!$R$1100</c:f>
              <c:strCache>
                <c:ptCount val="1"/>
                <c:pt idx="0">
                  <c:v>writing score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StudentsPerformance_excel_tasks!$L$1101:$L$1114</c:f>
              <c:strCache>
                <c:ptCount val="14"/>
                <c:pt idx="0">
                  <c:v>group B</c:v>
                </c:pt>
                <c:pt idx="1">
                  <c:v>group C</c:v>
                </c:pt>
                <c:pt idx="2">
                  <c:v>group B</c:v>
                </c:pt>
                <c:pt idx="3">
                  <c:v>group A</c:v>
                </c:pt>
                <c:pt idx="4">
                  <c:v>group C</c:v>
                </c:pt>
                <c:pt idx="5">
                  <c:v>group B</c:v>
                </c:pt>
                <c:pt idx="6">
                  <c:v>group B</c:v>
                </c:pt>
                <c:pt idx="7">
                  <c:v>group B</c:v>
                </c:pt>
                <c:pt idx="8">
                  <c:v>group D</c:v>
                </c:pt>
                <c:pt idx="9">
                  <c:v>group B</c:v>
                </c:pt>
                <c:pt idx="10">
                  <c:v>group C</c:v>
                </c:pt>
                <c:pt idx="11">
                  <c:v>group D</c:v>
                </c:pt>
                <c:pt idx="12">
                  <c:v>group B</c:v>
                </c:pt>
                <c:pt idx="13">
                  <c:v>group A</c:v>
                </c:pt>
              </c:strCache>
            </c:strRef>
          </c:cat>
          <c:val>
            <c:numRef>
              <c:f>StudentsPerformance_excel_tasks!$R$1101:$R$1114</c:f>
              <c:numCache>
                <c:formatCode>General</c:formatCode>
                <c:ptCount val="14"/>
                <c:pt idx="0">
                  <c:v>74</c:v>
                </c:pt>
                <c:pt idx="1">
                  <c:v>88</c:v>
                </c:pt>
                <c:pt idx="2">
                  <c:v>93</c:v>
                </c:pt>
                <c:pt idx="3">
                  <c:v>44</c:v>
                </c:pt>
                <c:pt idx="4">
                  <c:v>75</c:v>
                </c:pt>
                <c:pt idx="5">
                  <c:v>78</c:v>
                </c:pt>
                <c:pt idx="6">
                  <c:v>92</c:v>
                </c:pt>
                <c:pt idx="7">
                  <c:v>39</c:v>
                </c:pt>
                <c:pt idx="8">
                  <c:v>67</c:v>
                </c:pt>
                <c:pt idx="9">
                  <c:v>50</c:v>
                </c:pt>
                <c:pt idx="10">
                  <c:v>52</c:v>
                </c:pt>
                <c:pt idx="11">
                  <c:v>43</c:v>
                </c:pt>
                <c:pt idx="12">
                  <c:v>73</c:v>
                </c:pt>
                <c:pt idx="1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74-4FA6-8D93-637B25413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097695"/>
        <c:axId val="1067098175"/>
        <c:axId val="1118744431"/>
      </c:line3DChart>
      <c:catAx>
        <c:axId val="1067097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98175"/>
        <c:crosses val="autoZero"/>
        <c:auto val="1"/>
        <c:lblAlgn val="ctr"/>
        <c:lblOffset val="100"/>
        <c:noMultiLvlLbl val="0"/>
      </c:catAx>
      <c:valAx>
        <c:axId val="106709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97695"/>
        <c:crosses val="autoZero"/>
        <c:crossBetween val="between"/>
      </c:valAx>
      <c:serAx>
        <c:axId val="11187444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09817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6568</xdr:colOff>
      <xdr:row>1121</xdr:row>
      <xdr:rowOff>188529</xdr:rowOff>
    </xdr:from>
    <xdr:to>
      <xdr:col>15</xdr:col>
      <xdr:colOff>13137</xdr:colOff>
      <xdr:row>1136</xdr:row>
      <xdr:rowOff>74229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BAB089-368B-39C8-F485-CB3017C59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1122</xdr:row>
      <xdr:rowOff>0</xdr:rowOff>
    </xdr:from>
    <xdr:to>
      <xdr:col>17</xdr:col>
      <xdr:colOff>26276</xdr:colOff>
      <xdr:row>1136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9BA034-3288-4C25-BFA2-A62EABF37C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67236</xdr:colOff>
      <xdr:row>1122</xdr:row>
      <xdr:rowOff>11206</xdr:rowOff>
    </xdr:from>
    <xdr:to>
      <xdr:col>12</xdr:col>
      <xdr:colOff>5026</xdr:colOff>
      <xdr:row>1136</xdr:row>
      <xdr:rowOff>87406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64DE3D8-6BA0-428B-9F60-E5F005F8B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1223596</xdr:colOff>
      <xdr:row>1136</xdr:row>
      <xdr:rowOff>51288</xdr:rowOff>
    </xdr:from>
    <xdr:to>
      <xdr:col>15</xdr:col>
      <xdr:colOff>87923</xdr:colOff>
      <xdr:row>1150</xdr:row>
      <xdr:rowOff>127488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FE0498-1054-4556-A05C-6E7379547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0238310187" createdVersion="8" refreshedVersion="8" minRefreshableVersion="3" recordCount="14" xr:uid="{AABC6E52-FDDA-454A-ACE6-4040248C066B}">
  <cacheSource type="worksheet">
    <worksheetSource ref="K1100:R1114" sheet="StudentsPerformance_excel_tasks"/>
  </cacheSource>
  <cacheFields count="8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/>
    </cacheField>
    <cacheField name="lunch" numFmtId="0">
      <sharedItems/>
    </cacheField>
    <cacheField name="test preparation course" numFmtId="0">
      <sharedItems/>
    </cacheField>
    <cacheField name="math score" numFmtId="0">
      <sharedItems containsSemiMixedTypes="0" containsString="0" containsNumber="1" containsInteger="1" minValue="38" maxValue="90" count="13">
        <n v="72"/>
        <n v="69"/>
        <n v="90"/>
        <n v="47"/>
        <n v="76"/>
        <n v="71"/>
        <n v="88"/>
        <n v="40"/>
        <n v="64"/>
        <n v="38"/>
        <n v="58"/>
        <n v="65"/>
        <n v="78"/>
      </sharedItems>
    </cacheField>
    <cacheField name="reading score" numFmtId="0">
      <sharedItems containsSemiMixedTypes="0" containsString="0" containsNumber="1" containsInteger="1" minValue="43" maxValue="95"/>
    </cacheField>
    <cacheField name="writing score" numFmtId="0">
      <sharedItems containsSemiMixedTypes="0" containsString="0" containsNumber="1" containsInteger="1" minValue="39" maxValue="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77.679121412039" createdVersion="8" refreshedVersion="8" minRefreshableVersion="3" recordCount="14" xr:uid="{48534A05-FE60-4637-8836-0394C343EDEA}">
  <cacheSource type="worksheet">
    <worksheetSource ref="K1100:R1114" sheet="StudentsPerformance_excel_tasks"/>
  </cacheSource>
  <cacheFields count="8">
    <cacheField name="gender" numFmtId="0">
      <sharedItems/>
    </cacheField>
    <cacheField name="race/ethnicity" numFmtId="0">
      <sharedItems/>
    </cacheField>
    <cacheField name="parental level of education" numFmtId="0">
      <sharedItems/>
    </cacheField>
    <cacheField name="lunch" numFmtId="0">
      <sharedItems/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38" maxValue="90"/>
    </cacheField>
    <cacheField name="reading score" numFmtId="0">
      <sharedItems containsSemiMixedTypes="0" containsString="0" containsNumber="1" containsInteger="1" minValue="43" maxValue="95"/>
    </cacheField>
    <cacheField name="writing score" numFmtId="0">
      <sharedItems containsSemiMixedTypes="0" containsString="0" containsNumber="1" containsInteger="1" minValue="39" maxValue="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s v="group B"/>
    <s v="bachelor's degree"/>
    <s v="standard"/>
    <s v="none"/>
    <x v="0"/>
    <n v="72"/>
    <n v="74"/>
  </r>
  <r>
    <x v="0"/>
    <s v="group C"/>
    <s v="some college"/>
    <s v="standard"/>
    <s v="completed"/>
    <x v="1"/>
    <n v="90"/>
    <n v="88"/>
  </r>
  <r>
    <x v="0"/>
    <s v="group B"/>
    <s v="master's degree"/>
    <s v="standard"/>
    <s v="none"/>
    <x v="2"/>
    <n v="95"/>
    <n v="93"/>
  </r>
  <r>
    <x v="1"/>
    <s v="group A"/>
    <s v="associate's degree"/>
    <s v="free/reduced"/>
    <s v="none"/>
    <x v="3"/>
    <n v="57"/>
    <n v="44"/>
  </r>
  <r>
    <x v="1"/>
    <s v="group C"/>
    <s v="some college"/>
    <s v="standard"/>
    <s v="none"/>
    <x v="4"/>
    <n v="78"/>
    <n v="75"/>
  </r>
  <r>
    <x v="0"/>
    <s v="group B"/>
    <s v="associate's degree"/>
    <s v="standard"/>
    <s v="none"/>
    <x v="5"/>
    <n v="83"/>
    <n v="78"/>
  </r>
  <r>
    <x v="0"/>
    <s v="group B"/>
    <s v="some college"/>
    <s v="standard"/>
    <s v="completed"/>
    <x v="6"/>
    <n v="95"/>
    <n v="92"/>
  </r>
  <r>
    <x v="1"/>
    <s v="group B"/>
    <s v="some college"/>
    <s v="free/reduced"/>
    <s v="none"/>
    <x v="7"/>
    <n v="43"/>
    <n v="39"/>
  </r>
  <r>
    <x v="1"/>
    <s v="group D"/>
    <s v="high school"/>
    <s v="free/reduced"/>
    <s v="completed"/>
    <x v="8"/>
    <n v="64"/>
    <n v="67"/>
  </r>
  <r>
    <x v="0"/>
    <s v="group B"/>
    <s v="high school"/>
    <s v="free/reduced"/>
    <s v="none"/>
    <x v="9"/>
    <n v="60"/>
    <n v="50"/>
  </r>
  <r>
    <x v="1"/>
    <s v="group C"/>
    <s v="associate's degree"/>
    <s v="standard"/>
    <s v="none"/>
    <x v="10"/>
    <n v="54"/>
    <n v="52"/>
  </r>
  <r>
    <x v="1"/>
    <s v="group D"/>
    <s v="associate's degree"/>
    <s v="standard"/>
    <s v="none"/>
    <x v="7"/>
    <n v="52"/>
    <n v="43"/>
  </r>
  <r>
    <x v="0"/>
    <s v="group B"/>
    <s v="high school"/>
    <s v="standard"/>
    <s v="none"/>
    <x v="11"/>
    <n v="81"/>
    <n v="73"/>
  </r>
  <r>
    <x v="1"/>
    <s v="group A"/>
    <s v="some college"/>
    <s v="standard"/>
    <s v="completed"/>
    <x v="12"/>
    <n v="72"/>
    <n v="7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female"/>
    <s v="group B"/>
    <s v="bachelor's degree"/>
    <s v="standard"/>
    <x v="0"/>
    <n v="72"/>
    <n v="72"/>
    <n v="74"/>
  </r>
  <r>
    <s v="female"/>
    <s v="group C"/>
    <s v="some college"/>
    <s v="standard"/>
    <x v="1"/>
    <n v="69"/>
    <n v="90"/>
    <n v="88"/>
  </r>
  <r>
    <s v="female"/>
    <s v="group B"/>
    <s v="master's degree"/>
    <s v="standard"/>
    <x v="0"/>
    <n v="90"/>
    <n v="95"/>
    <n v="93"/>
  </r>
  <r>
    <s v="male"/>
    <s v="group A"/>
    <s v="associate's degree"/>
    <s v="free/reduced"/>
    <x v="0"/>
    <n v="47"/>
    <n v="57"/>
    <n v="44"/>
  </r>
  <r>
    <s v="male"/>
    <s v="group C"/>
    <s v="some college"/>
    <s v="standard"/>
    <x v="0"/>
    <n v="76"/>
    <n v="78"/>
    <n v="75"/>
  </r>
  <r>
    <s v="female"/>
    <s v="group B"/>
    <s v="associate's degree"/>
    <s v="standard"/>
    <x v="0"/>
    <n v="71"/>
    <n v="83"/>
    <n v="78"/>
  </r>
  <r>
    <s v="female"/>
    <s v="group B"/>
    <s v="some college"/>
    <s v="standard"/>
    <x v="1"/>
    <n v="88"/>
    <n v="95"/>
    <n v="92"/>
  </r>
  <r>
    <s v="male"/>
    <s v="group B"/>
    <s v="some college"/>
    <s v="free/reduced"/>
    <x v="0"/>
    <n v="40"/>
    <n v="43"/>
    <n v="39"/>
  </r>
  <r>
    <s v="male"/>
    <s v="group D"/>
    <s v="high school"/>
    <s v="free/reduced"/>
    <x v="1"/>
    <n v="64"/>
    <n v="64"/>
    <n v="67"/>
  </r>
  <r>
    <s v="female"/>
    <s v="group B"/>
    <s v="high school"/>
    <s v="free/reduced"/>
    <x v="0"/>
    <n v="38"/>
    <n v="60"/>
    <n v="50"/>
  </r>
  <r>
    <s v="male"/>
    <s v="group C"/>
    <s v="associate's degree"/>
    <s v="standard"/>
    <x v="0"/>
    <n v="58"/>
    <n v="54"/>
    <n v="52"/>
  </r>
  <r>
    <s v="male"/>
    <s v="group D"/>
    <s v="associate's degree"/>
    <s v="standard"/>
    <x v="0"/>
    <n v="40"/>
    <n v="52"/>
    <n v="43"/>
  </r>
  <r>
    <s v="female"/>
    <s v="group B"/>
    <s v="high school"/>
    <s v="standard"/>
    <x v="0"/>
    <n v="65"/>
    <n v="81"/>
    <n v="73"/>
  </r>
  <r>
    <s v="male"/>
    <s v="group A"/>
    <s v="some college"/>
    <s v="standard"/>
    <x v="1"/>
    <n v="78"/>
    <n v="72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79254-E881-4D49-BA22-A283263105C7}" name="PivotTable53" cacheId="7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P1120:Q1122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2">
    <i>
      <x/>
    </i>
    <i>
      <x v="1"/>
    </i>
  </rowItems>
  <colItems count="1">
    <i/>
  </colItems>
  <dataFields count="1">
    <dataField name="Count of test preparation course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50FF4-7276-4703-8542-68C58464700D}" name="PivotTable6" cacheId="1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7">
  <location ref="J1120:L1122" firstHeaderRow="0" firstDataRow="1" firstDataCol="1"/>
  <pivotFields count="8"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items count="13">
        <item x="9"/>
        <item x="7"/>
        <item x="3"/>
        <item x="10"/>
        <item x="8"/>
        <item x="11"/>
        <item x="1"/>
        <item x="5"/>
        <item x="0"/>
        <item x="4"/>
        <item x="12"/>
        <item x="6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Count of gender" fld="0" subtotal="count" baseField="0" baseItem="0"/>
    <dataField name="Sum of math score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6D1DB0-1128-4350-9E91-FB2162B1E983}" name="Table1" displayName="Table1" ref="J1:U1001" totalsRowShown="0">
  <autoFilter ref="J1:U1001" xr:uid="{FD6D1DB0-1128-4350-9E91-FB2162B1E983}"/>
  <tableColumns count="12">
    <tableColumn id="1" xr3:uid="{B5E9029F-0264-4625-ADCD-B9EB5AB863AC}" name="Round"/>
    <tableColumn id="2" xr3:uid="{5E6B4394-76BB-4D02-B838-47211760703D}" name="sqrt"/>
    <tableColumn id="3" xr3:uid="{0652429C-0489-4D97-97BF-6C023811E353}" name="min"/>
    <tableColumn id="4" xr3:uid="{E2E86AEB-EC4A-4445-B622-D04002E3A8BE}" name="max"/>
    <tableColumn id="5" xr3:uid="{6771BE09-E467-4CA5-BF98-952590B4762A}" name="sum"/>
    <tableColumn id="6" xr3:uid="{6D634822-7B0A-430E-998C-EB5392A74543}" name="average"/>
    <tableColumn id="7" xr3:uid="{9D87D01F-B1A4-422E-9A6B-7AB7C146517A}" name="median"/>
    <tableColumn id="8" xr3:uid="{8D73C776-D3AE-45FF-B8D6-5C09C77A767F}" name="rank"/>
    <tableColumn id="9" xr3:uid="{57F3AFB1-CD1C-49C0-8414-A5412EAAA55F}" name="round(sqrt)"/>
    <tableColumn id="10" xr3:uid="{51B2A387-7746-49ED-82B9-A3B1CC0B0E6C}" name="left"/>
    <tableColumn id="11" xr3:uid="{E69E39C5-86EF-4105-A1FD-3F82677E0BD1}" name="right"/>
    <tableColumn id="12" xr3:uid="{344560AD-B9E8-40CD-9310-527F63F44126}" name="length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D062FF-03B7-41F4-B9CD-D0289B02F87C}" name="Table2" displayName="Table2" ref="W13:Y33" totalsRowShown="0">
  <autoFilter ref="W13:Y33" xr:uid="{E0D062FF-03B7-41F4-B9CD-D0289B02F87C}"/>
  <tableColumns count="3">
    <tableColumn id="1" xr3:uid="{4B192ABF-5D90-43BB-95D6-63D90D19EE13}" name="Column1"/>
    <tableColumn id="2" xr3:uid="{38293FDE-2A92-46C6-8C08-759E4D779833}" name="Column2"/>
    <tableColumn id="3" xr3:uid="{3180822F-0F5B-4762-A8A7-D70D86097922}" name="Column3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BBFD7F-D0A9-41B2-BABE-CB71B1762C12}" name="Table3" displayName="Table3" ref="AA12:AB33" totalsRowShown="0">
  <autoFilter ref="AA12:AB33" xr:uid="{95BBFD7F-D0A9-41B2-BABE-CB71B1762C12}"/>
  <tableColumns count="2">
    <tableColumn id="1" xr3:uid="{DE0258DC-ED50-4561-BE01-9EB8269F4442}" name="Find(Apple)"/>
    <tableColumn id="2" xr3:uid="{1D660849-3A6C-4B25-AD83-7B5FC41B8F59}" name="Column1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546C57-710B-4F24-B458-3225B2356453}" name="Table4" displayName="Table4" ref="W38:X42" totalsRowShown="0">
  <autoFilter ref="W38:X42" xr:uid="{99546C57-710B-4F24-B458-3225B2356453}"/>
  <tableColumns count="2">
    <tableColumn id="1" xr3:uid="{0DC4E40F-B72D-4B6E-B649-81B8E76F5737}" name="Column1"/>
    <tableColumn id="2" xr3:uid="{65F29968-6CA8-489C-8932-FB26D4FB0ACF}" name="Column2"/>
  </tableColumns>
  <tableStyleInfo name="TableStyleMedium2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692F8B-308E-4CB8-B58F-517A395E50F9}" name="Table5" displayName="Table5" ref="E1005:H1014" totalsRowShown="0">
  <autoFilter ref="E1005:H1014" xr:uid="{22692F8B-308E-4CB8-B58F-517A395E50F9}"/>
  <tableColumns count="4">
    <tableColumn id="1" xr3:uid="{06B96CF3-42E3-4BA4-A43D-B98CB0E71E5F}" name="Column1"/>
    <tableColumn id="2" xr3:uid="{72A9719D-9F46-402C-A8A5-74B86AFE3895}" name="Column2"/>
    <tableColumn id="3" xr3:uid="{F007D4DB-4138-4D36-83A6-6BFB907CCE8B}" name="Column3"/>
    <tableColumn id="4" xr3:uid="{B23787A2-12F6-4C80-99D9-172A54083D01}" name="Column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89BF8B-2855-468E-9963-DD994F1ADF98}" name="Table6" displayName="Table6" ref="L1004:P1009" totalsRowShown="0">
  <autoFilter ref="L1004:P1009" xr:uid="{6089BF8B-2855-468E-9963-DD994F1ADF98}"/>
  <tableColumns count="5">
    <tableColumn id="1" xr3:uid="{4BC93C36-BBC8-483B-81F3-73AFE873BB69}" name="Date" dataDxfId="47"/>
    <tableColumn id="2" xr3:uid="{07ED5021-6821-4499-9A4F-2308987F783F}" name="Product"/>
    <tableColumn id="3" xr3:uid="{764B132F-F2E4-4203-AE14-4CA11755833A}" name="Color"/>
    <tableColumn id="4" xr3:uid="{B9DD46EE-5B8E-45D0-8C9A-BD23D4345E56}" name="Region"/>
    <tableColumn id="5" xr3:uid="{A5579248-81B7-4966-B375-CCB37F53004D}" name="Valu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FFFED0-611C-4362-B292-45BEED085BD4}" name="Table7" displayName="Table7" ref="O1010:P1014" totalsRowShown="0">
  <autoFilter ref="O1010:P1014" xr:uid="{28FFFED0-611C-4362-B292-45BEED085BD4}"/>
  <tableColumns count="2">
    <tableColumn id="1" xr3:uid="{D6CE90E0-5D9B-4C73-AA30-C01E569D0B17}" name="Column1"/>
    <tableColumn id="2" xr3:uid="{9EC8641C-FDC9-4077-86E9-CB579F63B9CF}" name="Column2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89C1A2-1E71-4804-86A2-68C32E58B093}" name="Table8" displayName="Table8" ref="S1007:T1011" totalsRowShown="0">
  <autoFilter ref="S1007:T1011" xr:uid="{2689C1A2-1E71-4804-86A2-68C32E58B093}"/>
  <tableColumns count="2">
    <tableColumn id="1" xr3:uid="{551063AA-5DB9-4B9F-91F3-429620C5213D}" name="Column1"/>
    <tableColumn id="2" xr3:uid="{70A4034D-1108-42BF-90E4-CA14DBEEAADA}" name="Column2"/>
  </tableColumns>
  <tableStyleInfo name="TableStyleDark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347EB66-ED11-4EFF-8589-FAEF195093A1}" name="Table9" displayName="Table9" ref="E1021:H1026" totalsRowShown="0" headerRowDxfId="46" dataDxfId="45">
  <autoFilter ref="E1021:H1026" xr:uid="{9347EB66-ED11-4EFF-8589-FAEF195093A1}"/>
  <tableColumns count="4">
    <tableColumn id="1" xr3:uid="{02B6A837-31F5-4DA6-9A3A-E3F7951D9729}" name="Student ID" dataDxfId="44"/>
    <tableColumn id="2" xr3:uid="{1698C6DB-B461-4BF6-B4BF-918FE6F5B6C1}" name="Name" dataDxfId="43"/>
    <tableColumn id="3" xr3:uid="{4F347286-E2C8-4EFC-8F17-F409E843FFFA}" name="Branch" dataDxfId="42"/>
    <tableColumn id="4" xr3:uid="{A9637062-B007-4EB5-8BC3-43A1D936277A}" name="Marks" dataDxfId="41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17FF452-937D-42AD-80EA-F14A7FB9700B}" name="Table10" displayName="Table10" ref="K1023:L1026" totalsRowShown="0">
  <autoFilter ref="K1023:L1026" xr:uid="{B17FF452-937D-42AD-80EA-F14A7FB9700B}"/>
  <tableColumns count="2">
    <tableColumn id="1" xr3:uid="{842D3D2B-C434-4AD9-938F-C31FB5DF8F7A}" name="Column1"/>
    <tableColumn id="2" xr3:uid="{ED3487AD-1BAE-414C-9B87-200C2BCDAC0A}" name="Column2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81970B-02EF-406C-BE1D-DD2431E50630}" name="Table11" displayName="Table11" ref="O1023:P1025" totalsRowShown="0">
  <autoFilter ref="O1023:P1025" xr:uid="{E981970B-02EF-406C-BE1D-DD2431E50630}"/>
  <tableColumns count="2">
    <tableColumn id="1" xr3:uid="{FB3C9F16-DE82-4279-A9B9-57FBACE140A4}" name="Hlookup"/>
    <tableColumn id="2" xr3:uid="{A3EF9926-9BDE-45C6-8B1F-74484E602356}" name="Column1">
      <calculatedColumnFormula>HLOOKUP(F1021,F1021:F1025,4,0)</calculatedColumnFormula>
    </tableColumn>
  </tableColumns>
  <tableStyleInfo name="TableStyleLight1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54181F-BA4B-49F4-A911-1725973EB98B}" name="Table12" displayName="Table12" ref="J1028:K1030" totalsRowShown="0">
  <autoFilter ref="J1028:K1030" xr:uid="{6A54181F-BA4B-49F4-A911-1725973EB98B}"/>
  <tableColumns count="2">
    <tableColumn id="1" xr3:uid="{34987A61-92BF-4A60-AF9B-A13A505F2CC3}" name="Column1"/>
    <tableColumn id="2" xr3:uid="{2AB3B514-0462-4D42-8DCB-8D43A27E94CA}" name="Match">
      <calculatedColumnFormula>MATCH(J1029,F1021:F1025,0)</calculatedColumnFormula>
    </tableColumn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9B7C085-38A7-4DD5-9E45-46E1CE0F83D6}" name="Table13" displayName="Table13" ref="N1028:O1030" totalsRowShown="0">
  <autoFilter ref="N1028:O1030" xr:uid="{99B7C085-38A7-4DD5-9E45-46E1CE0F83D6}"/>
  <tableColumns count="2">
    <tableColumn id="1" xr3:uid="{4B7EB688-E9F4-4748-841E-7E9CB1E41079}" name="Column1"/>
    <tableColumn id="2" xr3:uid="{0F5168E6-6D72-4861-8FBC-957D1FB25F63}" name="Index">
      <calculatedColumnFormula>INDEX(F1021:H1025,5,3)</calculatedColumnFormula>
    </tableColumn>
  </tableColumns>
  <tableStyleInfo name="TableStyleMedium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D1CA551-B3D3-41F9-A5F0-DC28FDBBC65A}" name="Table18" displayName="Table18" ref="Q1028:R1030" totalsRowShown="0">
  <autoFilter ref="Q1028:R1030" xr:uid="{AD1CA551-B3D3-41F9-A5F0-DC28FDBBC65A}"/>
  <tableColumns count="2">
    <tableColumn id="1" xr3:uid="{960C0B78-9F9F-4E34-A398-FAC566769061}" name="Column1"/>
    <tableColumn id="2" xr3:uid="{342F8144-37AB-40BA-9908-2C3CB36B4946}" name="Xlookup">
      <calculatedColumnFormula>_xlfn.XLOOKUP(F1024,Table9[Name],Table9[Branch])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DC9476-CE00-435F-B5D5-1EC43D36EB56}" name="Table15" displayName="Table15" ref="J1043:V1050" totalsRowShown="0">
  <autoFilter ref="J1043:V1050" xr:uid="{89DC9476-CE00-435F-B5D5-1EC43D36EB56}"/>
  <tableColumns count="13">
    <tableColumn id="1" xr3:uid="{67900814-AAF0-45B3-AAB4-FD3E2C8AA709}" name="Column1"/>
    <tableColumn id="2" xr3:uid="{75D9F410-94D6-4200-A9D7-26994B9853AA}" name="IF CONDITION"/>
    <tableColumn id="3" xr3:uid="{3154FE23-71EE-4CA1-B4FC-4ECBC558B463}" name="Column2"/>
    <tableColumn id="4" xr3:uid="{5DC98278-1B81-4535-B5F9-CE73E9C944F4}" name="Column3">
      <calculatedColumnFormula>IF(K1044&lt;35,"Fail","Pass")</calculatedColumnFormula>
    </tableColumn>
    <tableColumn id="5" xr3:uid="{C98392DF-7627-4683-BB93-544864DC3CFD}" name="Column4"/>
    <tableColumn id="6" xr3:uid="{E5017742-3A3C-4B82-BD78-16A73352B0BF}" name="Column5"/>
    <tableColumn id="7" xr3:uid="{C5579C3D-4784-4F1D-B63F-57AC28FF8B4C}" name="Column6"/>
    <tableColumn id="8" xr3:uid="{4F9C99C3-FD21-4339-9D75-289340867928}" name="Column7"/>
    <tableColumn id="9" xr3:uid="{C26EB985-CF45-4488-B4C9-09499D08465A}" name="Column8"/>
    <tableColumn id="10" xr3:uid="{99CF7FE7-3BAD-4583-B8A5-25C6DA05ABAE}" name="Column9"/>
    <tableColumn id="11" xr3:uid="{66A0C6FB-9DCA-4B17-8D51-AB861403E9D9}" name="Column10"/>
    <tableColumn id="12" xr3:uid="{1B040F22-CEDC-4C14-B776-82F76634FEA8}" name="Column11"/>
    <tableColumn id="13" xr3:uid="{623B28B8-6610-46D6-9611-193D1EB48EEC}" name="Column12"/>
  </tableColumns>
  <tableStyleInfo name="TableStyleMedium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30E8E2-B858-4712-A0DD-EBECD9BB3543}" name="Table14" displayName="Table14" ref="S1033:T1036" totalsRowShown="0">
  <autoFilter ref="S1033:T1036" xr:uid="{EA30E8E2-B858-4712-A0DD-EBECD9BB3543}"/>
  <tableColumns count="2">
    <tableColumn id="1" xr3:uid="{4AD75CB9-F9D3-4BC8-AF47-30B9B607E689}" name="vlookup"/>
    <tableColumn id="2" xr3:uid="{99D0D81B-6870-42FC-A406-11992F93C3EA}" name="Kira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60EDF49-EF86-4AA1-9E7F-DAAEF92975A7}" name="Table618" displayName="Table618" ref="R1055:V1060" totalsRowShown="0">
  <autoFilter ref="R1055:V1060" xr:uid="{260EDF49-EF86-4AA1-9E7F-DAAEF92975A7}"/>
  <tableColumns count="5">
    <tableColumn id="1" xr3:uid="{B7954A1B-0D5F-425A-AD10-4DD1AAEDE651}" name="Date" dataDxfId="40"/>
    <tableColumn id="2" xr3:uid="{4C87E957-5F31-4E8D-9F52-E819C429F902}" name="Product"/>
    <tableColumn id="3" xr3:uid="{A6B4332B-5D11-4496-821E-0EBCBAAFB562}" name="Color"/>
    <tableColumn id="4" xr3:uid="{4CB43A59-F3C6-49EE-9FEF-087132D87CAA}" name="Region"/>
    <tableColumn id="5" xr3:uid="{77B4C77B-54F4-45CD-AC18-9C2173253A61}" name="Value" dataDxfId="39"/>
  </tableColumns>
  <tableStyleInfo name="TableStyleMedium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6244897-C535-4A72-8BC8-5BBADE9FE150}" name="Table16" displayName="Table16" ref="K1083:R1094" totalsRowShown="0" headerRowDxfId="38" headerRowBorderDxfId="37" tableBorderDxfId="36" totalsRowBorderDxfId="35">
  <autoFilter ref="K1083:R1094" xr:uid="{56244897-C535-4A72-8BC8-5BBADE9FE150}"/>
  <tableColumns count="8">
    <tableColumn id="1" xr3:uid="{670F3555-6087-4E34-81F9-BD3AAA40B563}" name="gender" dataDxfId="34"/>
    <tableColumn id="2" xr3:uid="{EF9AA3E9-4F55-4FD8-8AD9-EB69158A03D8}" name="race/ethnicity" dataDxfId="33"/>
    <tableColumn id="3" xr3:uid="{CB0C4BB1-1F34-49BC-801F-A92E31281E87}" name="parental level of education" dataDxfId="32"/>
    <tableColumn id="4" xr3:uid="{804FF69D-BBFF-4229-A546-6EAD45DD7755}" name="lunch" dataDxfId="31"/>
    <tableColumn id="5" xr3:uid="{60393ADB-FCC1-44DB-8DF3-41B9F7851A29}" name="test preparation course" dataDxfId="30"/>
    <tableColumn id="6" xr3:uid="{82AB15EB-E5ED-4E01-8967-B5E86563CCF3}" name="math score" dataDxfId="29"/>
    <tableColumn id="7" xr3:uid="{C84DFB57-CDF1-4540-9744-6603B19C00F3}" name="reading score" dataDxfId="28"/>
    <tableColumn id="8" xr3:uid="{8836556D-A483-4DC7-A3EF-21EC59F670ED}" name="writing score" dataDxfId="27"/>
  </tableColumns>
  <tableStyleInfo name="TableStyleLight1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93A37CE-5F7C-4DA3-9BF0-1E44953C31EA}" name="Table19" displayName="Table19" ref="K1070:S1079" totalsRowShown="0" headerRowDxfId="26" headerRowBorderDxfId="25" tableBorderDxfId="24" totalsRowBorderDxfId="23">
  <autoFilter ref="K1070:S1079" xr:uid="{593A37CE-5F7C-4DA3-9BF0-1E44953C31EA}"/>
  <tableColumns count="9">
    <tableColumn id="1" xr3:uid="{4F8FC6EF-1393-4570-975F-3A1F51A3F3E9}" name="gender" dataDxfId="22"/>
    <tableColumn id="2" xr3:uid="{5F2C3C4D-C824-4BF8-BCBA-D88A97628B67}" name="race/ethnicity" dataDxfId="21"/>
    <tableColumn id="3" xr3:uid="{AD7A126D-06BA-441C-9C13-8287C9B5932F}" name="parental level of education" dataDxfId="20"/>
    <tableColumn id="4" xr3:uid="{029EE934-4F70-4AE1-846D-A8681591349A}" name="lunch" dataDxfId="19"/>
    <tableColumn id="5" xr3:uid="{5A17CABF-A470-4647-A0DC-8CDEE4EF107F}" name="test preparation course" dataDxfId="18"/>
    <tableColumn id="6" xr3:uid="{1FA51E95-8F03-4C7C-9DB6-D9D20C3EC1BD}" name="math score" dataDxfId="17"/>
    <tableColumn id="7" xr3:uid="{34C179D9-8AEB-47DA-A65D-E610D56E8703}" name="reading score" dataDxfId="16"/>
    <tableColumn id="8" xr3:uid="{6CCA2A20-DA47-4508-B67D-3A24531135C0}" name="writing score" dataDxfId="15"/>
    <tableColumn id="9" xr3:uid="{18FC209A-1090-4F2E-AAA7-FBB99A01508E}" name="Total Score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13" Type="http://schemas.openxmlformats.org/officeDocument/2006/relationships/table" Target="../tables/table9.xml"/><Relationship Id="rId18" Type="http://schemas.openxmlformats.org/officeDocument/2006/relationships/table" Target="../tables/table14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17.xml"/><Relationship Id="rId7" Type="http://schemas.openxmlformats.org/officeDocument/2006/relationships/table" Target="../tables/table3.xml"/><Relationship Id="rId12" Type="http://schemas.openxmlformats.org/officeDocument/2006/relationships/table" Target="../tables/table8.xml"/><Relationship Id="rId17" Type="http://schemas.openxmlformats.org/officeDocument/2006/relationships/table" Target="../tables/table13.xml"/><Relationship Id="rId2" Type="http://schemas.openxmlformats.org/officeDocument/2006/relationships/pivotTable" Target="../pivotTables/pivotTable2.xml"/><Relationship Id="rId16" Type="http://schemas.openxmlformats.org/officeDocument/2006/relationships/table" Target="../tables/table12.xml"/><Relationship Id="rId20" Type="http://schemas.openxmlformats.org/officeDocument/2006/relationships/table" Target="../tables/table16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11" Type="http://schemas.openxmlformats.org/officeDocument/2006/relationships/table" Target="../tables/table7.xml"/><Relationship Id="rId5" Type="http://schemas.openxmlformats.org/officeDocument/2006/relationships/table" Target="../tables/table1.xml"/><Relationship Id="rId15" Type="http://schemas.openxmlformats.org/officeDocument/2006/relationships/table" Target="../tables/table11.xml"/><Relationship Id="rId23" Type="http://schemas.openxmlformats.org/officeDocument/2006/relationships/table" Target="../tables/table19.xml"/><Relationship Id="rId10" Type="http://schemas.openxmlformats.org/officeDocument/2006/relationships/table" Target="../tables/table6.xml"/><Relationship Id="rId19" Type="http://schemas.openxmlformats.org/officeDocument/2006/relationships/table" Target="../tables/table15.xml"/><Relationship Id="rId4" Type="http://schemas.openxmlformats.org/officeDocument/2006/relationships/drawing" Target="../drawings/drawing1.xml"/><Relationship Id="rId9" Type="http://schemas.openxmlformats.org/officeDocument/2006/relationships/table" Target="../tables/table5.xml"/><Relationship Id="rId14" Type="http://schemas.openxmlformats.org/officeDocument/2006/relationships/table" Target="../tables/table10.xml"/><Relationship Id="rId22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B206-91D4-4AAB-8C4A-59B57F1C8E71}">
  <dimension ref="A1:AB1159"/>
  <sheetViews>
    <sheetView tabSelected="1" topLeftCell="I1141" zoomScale="130" zoomScaleNormal="130" workbookViewId="0">
      <selection activeCell="M1155" sqref="M1155"/>
    </sheetView>
  </sheetViews>
  <sheetFormatPr defaultRowHeight="15" x14ac:dyDescent="0.25"/>
  <cols>
    <col min="5" max="5" width="14.42578125" customWidth="1"/>
    <col min="6" max="8" width="11" customWidth="1"/>
    <col min="10" max="10" width="11" customWidth="1"/>
    <col min="11" max="11" width="18.140625" customWidth="1"/>
    <col min="12" max="12" width="22" customWidth="1"/>
    <col min="13" max="13" width="25.85546875" customWidth="1"/>
    <col min="14" max="14" width="15.85546875" customWidth="1"/>
    <col min="15" max="15" width="22" customWidth="1"/>
    <col min="16" max="16" width="25.140625" customWidth="1"/>
    <col min="17" max="17" width="28.85546875" customWidth="1"/>
    <col min="18" max="18" width="13.28515625" customWidth="1"/>
    <col min="19" max="19" width="14.7109375" customWidth="1"/>
    <col min="20" max="20" width="11" customWidth="1"/>
    <col min="22" max="22" width="11" bestFit="1" customWidth="1"/>
    <col min="23" max="25" width="11" customWidth="1"/>
    <col min="27" max="27" width="13.7109375" customWidth="1"/>
    <col min="28" max="28" width="1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8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72</v>
      </c>
      <c r="G2">
        <v>72</v>
      </c>
      <c r="H2">
        <v>74</v>
      </c>
      <c r="J2">
        <v>72</v>
      </c>
      <c r="K2">
        <v>8.4852813739999995</v>
      </c>
      <c r="L2">
        <v>72</v>
      </c>
      <c r="M2">
        <v>74</v>
      </c>
      <c r="N2">
        <v>218</v>
      </c>
      <c r="O2">
        <v>72.666666669999998</v>
      </c>
      <c r="P2">
        <v>72</v>
      </c>
      <c r="Q2">
        <v>1</v>
      </c>
      <c r="R2">
        <v>8.52</v>
      </c>
      <c r="S2" t="s">
        <v>25</v>
      </c>
      <c r="T2" t="s">
        <v>26</v>
      </c>
      <c r="U2">
        <v>17</v>
      </c>
    </row>
    <row r="3" spans="1:28" x14ac:dyDescent="0.25">
      <c r="A3" t="s">
        <v>20</v>
      </c>
      <c r="B3" t="s">
        <v>27</v>
      </c>
      <c r="C3" t="s">
        <v>28</v>
      </c>
      <c r="D3" t="s">
        <v>23</v>
      </c>
      <c r="E3" t="s">
        <v>29</v>
      </c>
      <c r="F3">
        <v>69</v>
      </c>
      <c r="G3">
        <v>90</v>
      </c>
      <c r="H3">
        <v>88</v>
      </c>
      <c r="J3">
        <v>69</v>
      </c>
      <c r="K3">
        <v>8.3066238630000004</v>
      </c>
      <c r="L3">
        <v>69</v>
      </c>
      <c r="M3">
        <v>90</v>
      </c>
      <c r="N3">
        <v>247</v>
      </c>
      <c r="O3">
        <v>82.333333330000002</v>
      </c>
      <c r="P3">
        <v>78.5</v>
      </c>
      <c r="Q3">
        <v>2</v>
      </c>
      <c r="R3">
        <v>9.07</v>
      </c>
      <c r="S3" t="s">
        <v>30</v>
      </c>
      <c r="T3" t="s">
        <v>31</v>
      </c>
      <c r="U3">
        <v>12</v>
      </c>
    </row>
    <row r="4" spans="1:28" x14ac:dyDescent="0.25">
      <c r="A4" t="s">
        <v>20</v>
      </c>
      <c r="B4" t="s">
        <v>21</v>
      </c>
      <c r="C4" t="s">
        <v>32</v>
      </c>
      <c r="D4" t="s">
        <v>23</v>
      </c>
      <c r="E4" t="s">
        <v>24</v>
      </c>
      <c r="F4">
        <v>90</v>
      </c>
      <c r="G4">
        <v>95</v>
      </c>
      <c r="H4">
        <v>93</v>
      </c>
      <c r="J4">
        <v>90</v>
      </c>
      <c r="K4">
        <v>9.4868329809999992</v>
      </c>
      <c r="L4">
        <v>90</v>
      </c>
      <c r="M4">
        <v>95</v>
      </c>
      <c r="N4">
        <v>278</v>
      </c>
      <c r="O4">
        <v>92.666666669999998</v>
      </c>
      <c r="P4">
        <v>91.5</v>
      </c>
      <c r="Q4">
        <v>2</v>
      </c>
      <c r="R4">
        <v>9.6300000000000008</v>
      </c>
      <c r="S4" t="s">
        <v>33</v>
      </c>
      <c r="T4" t="s">
        <v>26</v>
      </c>
      <c r="U4">
        <v>15</v>
      </c>
    </row>
    <row r="5" spans="1:28" x14ac:dyDescent="0.25">
      <c r="A5" t="s">
        <v>34</v>
      </c>
      <c r="B5" t="s">
        <v>35</v>
      </c>
      <c r="C5" t="s">
        <v>36</v>
      </c>
      <c r="D5" t="s">
        <v>37</v>
      </c>
      <c r="E5" t="s">
        <v>24</v>
      </c>
      <c r="F5">
        <v>47</v>
      </c>
      <c r="G5">
        <v>57</v>
      </c>
      <c r="H5">
        <v>44</v>
      </c>
      <c r="J5">
        <v>47</v>
      </c>
      <c r="K5">
        <v>6.8556546000000003</v>
      </c>
      <c r="L5">
        <v>44</v>
      </c>
      <c r="M5">
        <v>57</v>
      </c>
      <c r="N5">
        <v>148</v>
      </c>
      <c r="O5">
        <v>49.333333330000002</v>
      </c>
      <c r="P5">
        <v>47</v>
      </c>
      <c r="Q5">
        <v>4</v>
      </c>
      <c r="R5">
        <v>7.02</v>
      </c>
      <c r="S5" t="s">
        <v>38</v>
      </c>
      <c r="T5" t="s">
        <v>26</v>
      </c>
      <c r="U5">
        <v>18</v>
      </c>
    </row>
    <row r="6" spans="1:28" x14ac:dyDescent="0.25">
      <c r="A6" t="s">
        <v>34</v>
      </c>
      <c r="B6" t="s">
        <v>27</v>
      </c>
      <c r="C6" t="s">
        <v>28</v>
      </c>
      <c r="D6" t="s">
        <v>23</v>
      </c>
      <c r="E6" t="s">
        <v>24</v>
      </c>
      <c r="F6">
        <v>76</v>
      </c>
      <c r="G6">
        <v>78</v>
      </c>
      <c r="H6">
        <v>75</v>
      </c>
      <c r="J6">
        <v>76</v>
      </c>
      <c r="K6">
        <v>8.7177978869999997</v>
      </c>
      <c r="L6">
        <v>75</v>
      </c>
      <c r="M6">
        <v>78</v>
      </c>
      <c r="N6">
        <v>229</v>
      </c>
      <c r="O6">
        <v>76.333333330000002</v>
      </c>
      <c r="P6">
        <v>76</v>
      </c>
      <c r="Q6">
        <v>4</v>
      </c>
      <c r="R6">
        <v>8.74</v>
      </c>
      <c r="S6" t="s">
        <v>30</v>
      </c>
      <c r="T6" t="s">
        <v>31</v>
      </c>
      <c r="U6">
        <v>12</v>
      </c>
    </row>
    <row r="7" spans="1:28" x14ac:dyDescent="0.25">
      <c r="A7" t="s">
        <v>20</v>
      </c>
      <c r="B7" t="s">
        <v>21</v>
      </c>
      <c r="C7" t="s">
        <v>36</v>
      </c>
      <c r="D7" t="s">
        <v>23</v>
      </c>
      <c r="E7" t="s">
        <v>24</v>
      </c>
      <c r="F7">
        <v>71</v>
      </c>
      <c r="G7">
        <v>83</v>
      </c>
      <c r="H7">
        <v>78</v>
      </c>
      <c r="J7">
        <v>71</v>
      </c>
      <c r="K7">
        <v>8.4261497730000006</v>
      </c>
      <c r="L7">
        <v>71</v>
      </c>
      <c r="M7">
        <v>83</v>
      </c>
      <c r="N7">
        <v>232</v>
      </c>
      <c r="O7">
        <v>77.333333330000002</v>
      </c>
      <c r="P7">
        <v>74.5</v>
      </c>
      <c r="Q7">
        <v>2</v>
      </c>
      <c r="R7">
        <v>8.7899999999999991</v>
      </c>
      <c r="S7" t="s">
        <v>38</v>
      </c>
      <c r="T7" t="s">
        <v>26</v>
      </c>
      <c r="U7">
        <v>18</v>
      </c>
    </row>
    <row r="8" spans="1:28" x14ac:dyDescent="0.25">
      <c r="A8" t="s">
        <v>20</v>
      </c>
      <c r="B8" t="s">
        <v>21</v>
      </c>
      <c r="C8" t="s">
        <v>28</v>
      </c>
      <c r="D8" t="s">
        <v>23</v>
      </c>
      <c r="E8" t="s">
        <v>29</v>
      </c>
      <c r="F8">
        <v>88</v>
      </c>
      <c r="G8">
        <v>95</v>
      </c>
      <c r="H8">
        <v>92</v>
      </c>
      <c r="J8">
        <v>88</v>
      </c>
      <c r="K8">
        <v>9.3808315199999992</v>
      </c>
      <c r="L8">
        <v>88</v>
      </c>
      <c r="M8">
        <v>95</v>
      </c>
      <c r="N8">
        <v>275</v>
      </c>
      <c r="O8">
        <v>91.666666669999998</v>
      </c>
      <c r="P8">
        <v>90</v>
      </c>
      <c r="Q8">
        <v>2</v>
      </c>
      <c r="R8">
        <v>9.57</v>
      </c>
      <c r="S8" t="s">
        <v>30</v>
      </c>
      <c r="T8" t="s">
        <v>31</v>
      </c>
      <c r="U8">
        <v>12</v>
      </c>
    </row>
    <row r="9" spans="1:28" x14ac:dyDescent="0.25">
      <c r="A9" t="s">
        <v>34</v>
      </c>
      <c r="B9" t="s">
        <v>21</v>
      </c>
      <c r="C9" t="s">
        <v>28</v>
      </c>
      <c r="D9" t="s">
        <v>37</v>
      </c>
      <c r="E9" t="s">
        <v>24</v>
      </c>
      <c r="F9">
        <v>40</v>
      </c>
      <c r="G9">
        <v>43</v>
      </c>
      <c r="H9">
        <v>39</v>
      </c>
      <c r="J9">
        <v>40</v>
      </c>
      <c r="K9">
        <v>6.32455532</v>
      </c>
      <c r="L9">
        <v>39</v>
      </c>
      <c r="M9">
        <v>43</v>
      </c>
      <c r="N9">
        <v>122</v>
      </c>
      <c r="O9">
        <v>40.666666669999998</v>
      </c>
      <c r="P9">
        <v>40</v>
      </c>
      <c r="Q9">
        <v>4</v>
      </c>
      <c r="R9">
        <v>6.38</v>
      </c>
      <c r="S9" t="s">
        <v>30</v>
      </c>
      <c r="T9" t="s">
        <v>31</v>
      </c>
      <c r="U9">
        <v>12</v>
      </c>
    </row>
    <row r="10" spans="1:28" x14ac:dyDescent="0.25">
      <c r="A10" t="s">
        <v>34</v>
      </c>
      <c r="B10" t="s">
        <v>39</v>
      </c>
      <c r="C10" t="s">
        <v>40</v>
      </c>
      <c r="D10" t="s">
        <v>37</v>
      </c>
      <c r="E10" t="s">
        <v>29</v>
      </c>
      <c r="F10">
        <v>64</v>
      </c>
      <c r="G10">
        <v>64</v>
      </c>
      <c r="H10">
        <v>67</v>
      </c>
      <c r="J10">
        <v>64</v>
      </c>
      <c r="K10">
        <v>8</v>
      </c>
      <c r="L10">
        <v>64</v>
      </c>
      <c r="M10">
        <v>67</v>
      </c>
      <c r="N10">
        <v>195</v>
      </c>
      <c r="O10">
        <v>65</v>
      </c>
      <c r="P10">
        <v>64</v>
      </c>
      <c r="Q10">
        <v>1</v>
      </c>
      <c r="R10">
        <v>8.06</v>
      </c>
      <c r="S10" t="s">
        <v>41</v>
      </c>
      <c r="T10" t="s">
        <v>42</v>
      </c>
      <c r="U10">
        <v>11</v>
      </c>
    </row>
    <row r="11" spans="1:28" x14ac:dyDescent="0.25">
      <c r="A11" t="s">
        <v>20</v>
      </c>
      <c r="B11" t="s">
        <v>21</v>
      </c>
      <c r="C11" t="s">
        <v>40</v>
      </c>
      <c r="D11" t="s">
        <v>37</v>
      </c>
      <c r="E11" t="s">
        <v>24</v>
      </c>
      <c r="F11">
        <v>38</v>
      </c>
      <c r="G11">
        <v>60</v>
      </c>
      <c r="H11">
        <v>50</v>
      </c>
      <c r="J11">
        <v>38</v>
      </c>
      <c r="K11">
        <v>6.1644140030000001</v>
      </c>
      <c r="L11">
        <v>38</v>
      </c>
      <c r="M11">
        <v>60</v>
      </c>
      <c r="N11">
        <v>148</v>
      </c>
      <c r="O11">
        <v>49.333333330000002</v>
      </c>
      <c r="P11">
        <v>44</v>
      </c>
      <c r="Q11">
        <v>2</v>
      </c>
      <c r="R11">
        <v>7.02</v>
      </c>
      <c r="S11" t="s">
        <v>41</v>
      </c>
      <c r="T11" t="s">
        <v>42</v>
      </c>
      <c r="U11">
        <v>11</v>
      </c>
    </row>
    <row r="12" spans="1:28" x14ac:dyDescent="0.25">
      <c r="A12" t="s">
        <v>34</v>
      </c>
      <c r="B12" t="s">
        <v>27</v>
      </c>
      <c r="C12" t="s">
        <v>36</v>
      </c>
      <c r="D12" t="s">
        <v>23</v>
      </c>
      <c r="E12" t="s">
        <v>24</v>
      </c>
      <c r="F12">
        <v>58</v>
      </c>
      <c r="G12">
        <v>54</v>
      </c>
      <c r="H12">
        <v>52</v>
      </c>
      <c r="J12">
        <v>58</v>
      </c>
      <c r="K12">
        <v>7.6157731059999998</v>
      </c>
      <c r="L12">
        <v>52</v>
      </c>
      <c r="M12">
        <v>58</v>
      </c>
      <c r="N12">
        <v>164</v>
      </c>
      <c r="O12">
        <v>54.666666669999998</v>
      </c>
      <c r="P12">
        <v>56</v>
      </c>
      <c r="Q12">
        <v>4</v>
      </c>
      <c r="R12">
        <v>7.39</v>
      </c>
      <c r="S12" t="s">
        <v>38</v>
      </c>
      <c r="T12" t="s">
        <v>26</v>
      </c>
      <c r="U12">
        <v>18</v>
      </c>
      <c r="AA12" t="s">
        <v>46</v>
      </c>
      <c r="AB12" t="s">
        <v>43</v>
      </c>
    </row>
    <row r="13" spans="1:28" x14ac:dyDescent="0.25">
      <c r="A13" t="s">
        <v>34</v>
      </c>
      <c r="B13" t="s">
        <v>39</v>
      </c>
      <c r="C13" t="s">
        <v>36</v>
      </c>
      <c r="D13" t="s">
        <v>23</v>
      </c>
      <c r="E13" t="s">
        <v>24</v>
      </c>
      <c r="F13">
        <v>40</v>
      </c>
      <c r="G13">
        <v>52</v>
      </c>
      <c r="H13">
        <v>43</v>
      </c>
      <c r="J13">
        <v>40</v>
      </c>
      <c r="K13">
        <v>6.32455532</v>
      </c>
      <c r="L13">
        <v>40</v>
      </c>
      <c r="M13">
        <v>52</v>
      </c>
      <c r="N13">
        <v>135</v>
      </c>
      <c r="O13">
        <v>45</v>
      </c>
      <c r="P13">
        <v>41.5</v>
      </c>
      <c r="Q13">
        <v>2</v>
      </c>
      <c r="R13">
        <v>6.71</v>
      </c>
      <c r="S13" t="s">
        <v>38</v>
      </c>
      <c r="T13" t="s">
        <v>26</v>
      </c>
      <c r="U13">
        <v>18</v>
      </c>
      <c r="W13" t="s">
        <v>43</v>
      </c>
      <c r="X13" t="s">
        <v>44</v>
      </c>
      <c r="Y13" t="s">
        <v>45</v>
      </c>
      <c r="AA13">
        <v>2</v>
      </c>
    </row>
    <row r="14" spans="1:28" x14ac:dyDescent="0.25">
      <c r="A14" t="s">
        <v>20</v>
      </c>
      <c r="B14" t="s">
        <v>21</v>
      </c>
      <c r="C14" t="s">
        <v>40</v>
      </c>
      <c r="D14" t="s">
        <v>23</v>
      </c>
      <c r="E14" t="s">
        <v>24</v>
      </c>
      <c r="F14">
        <v>65</v>
      </c>
      <c r="G14">
        <v>81</v>
      </c>
      <c r="H14">
        <v>73</v>
      </c>
      <c r="J14">
        <v>65</v>
      </c>
      <c r="K14">
        <v>8.0622577480000004</v>
      </c>
      <c r="L14">
        <v>65</v>
      </c>
      <c r="M14">
        <v>81</v>
      </c>
      <c r="N14">
        <v>219</v>
      </c>
      <c r="O14">
        <v>73</v>
      </c>
      <c r="P14">
        <v>69</v>
      </c>
      <c r="Q14">
        <v>2</v>
      </c>
      <c r="R14">
        <v>8.5399999999999991</v>
      </c>
      <c r="S14" t="s">
        <v>41</v>
      </c>
      <c r="T14" t="s">
        <v>42</v>
      </c>
      <c r="U14">
        <v>11</v>
      </c>
      <c r="W14" t="s">
        <v>47</v>
      </c>
    </row>
    <row r="15" spans="1:28" x14ac:dyDescent="0.25">
      <c r="A15" t="s">
        <v>34</v>
      </c>
      <c r="B15" t="s">
        <v>35</v>
      </c>
      <c r="C15" t="s">
        <v>28</v>
      </c>
      <c r="D15" t="s">
        <v>23</v>
      </c>
      <c r="E15" t="s">
        <v>29</v>
      </c>
      <c r="F15">
        <v>78</v>
      </c>
      <c r="G15">
        <v>72</v>
      </c>
      <c r="H15">
        <v>70</v>
      </c>
      <c r="J15">
        <v>78</v>
      </c>
      <c r="K15">
        <v>8.8317608659999998</v>
      </c>
      <c r="L15">
        <v>70</v>
      </c>
      <c r="M15">
        <v>78</v>
      </c>
      <c r="N15">
        <v>220</v>
      </c>
      <c r="O15">
        <v>73.333333330000002</v>
      </c>
      <c r="P15">
        <v>75</v>
      </c>
      <c r="Q15">
        <v>4</v>
      </c>
      <c r="R15">
        <v>8.56</v>
      </c>
      <c r="S15" t="s">
        <v>30</v>
      </c>
      <c r="T15" t="s">
        <v>31</v>
      </c>
      <c r="U15">
        <v>12</v>
      </c>
      <c r="W15" t="s">
        <v>48</v>
      </c>
    </row>
    <row r="16" spans="1:28" x14ac:dyDescent="0.25">
      <c r="A16" t="s">
        <v>20</v>
      </c>
      <c r="B16" t="s">
        <v>35</v>
      </c>
      <c r="C16" t="s">
        <v>32</v>
      </c>
      <c r="D16" t="s">
        <v>23</v>
      </c>
      <c r="E16" t="s">
        <v>24</v>
      </c>
      <c r="F16">
        <v>50</v>
      </c>
      <c r="G16">
        <v>53</v>
      </c>
      <c r="H16">
        <v>58</v>
      </c>
      <c r="J16">
        <v>50</v>
      </c>
      <c r="K16">
        <v>7.0710678119999999</v>
      </c>
      <c r="L16">
        <v>50</v>
      </c>
      <c r="M16">
        <v>58</v>
      </c>
      <c r="N16">
        <v>161</v>
      </c>
      <c r="O16">
        <v>53.666666669999998</v>
      </c>
      <c r="P16">
        <v>51.5</v>
      </c>
      <c r="Q16">
        <v>1</v>
      </c>
      <c r="R16">
        <v>7.33</v>
      </c>
      <c r="S16" t="s">
        <v>33</v>
      </c>
      <c r="T16" t="s">
        <v>26</v>
      </c>
      <c r="U16">
        <v>15</v>
      </c>
      <c r="W16" s="1">
        <v>46174</v>
      </c>
      <c r="AA16" t="s">
        <v>49</v>
      </c>
    </row>
    <row r="17" spans="1:27" x14ac:dyDescent="0.25">
      <c r="A17" t="s">
        <v>20</v>
      </c>
      <c r="B17" t="s">
        <v>27</v>
      </c>
      <c r="C17" t="s">
        <v>50</v>
      </c>
      <c r="D17" t="s">
        <v>23</v>
      </c>
      <c r="E17" t="s">
        <v>24</v>
      </c>
      <c r="F17">
        <v>69</v>
      </c>
      <c r="G17">
        <v>75</v>
      </c>
      <c r="H17">
        <v>78</v>
      </c>
      <c r="J17">
        <v>69</v>
      </c>
      <c r="K17">
        <v>8.3066238630000004</v>
      </c>
      <c r="L17">
        <v>69</v>
      </c>
      <c r="M17">
        <v>78</v>
      </c>
      <c r="N17">
        <v>222</v>
      </c>
      <c r="O17">
        <v>74</v>
      </c>
      <c r="P17">
        <v>72</v>
      </c>
      <c r="Q17">
        <v>1</v>
      </c>
      <c r="R17">
        <v>8.6</v>
      </c>
      <c r="S17" t="s">
        <v>30</v>
      </c>
      <c r="T17" t="s">
        <v>42</v>
      </c>
      <c r="U17">
        <v>16</v>
      </c>
      <c r="AA17" t="s">
        <v>52</v>
      </c>
    </row>
    <row r="18" spans="1:27" x14ac:dyDescent="0.25">
      <c r="A18" t="s">
        <v>34</v>
      </c>
      <c r="B18" t="s">
        <v>27</v>
      </c>
      <c r="C18" t="s">
        <v>40</v>
      </c>
      <c r="D18" t="s">
        <v>23</v>
      </c>
      <c r="E18" t="s">
        <v>24</v>
      </c>
      <c r="F18">
        <v>88</v>
      </c>
      <c r="G18">
        <v>89</v>
      </c>
      <c r="H18">
        <v>86</v>
      </c>
      <c r="J18">
        <v>88</v>
      </c>
      <c r="K18">
        <v>9.3808315199999992</v>
      </c>
      <c r="L18">
        <v>86</v>
      </c>
      <c r="M18">
        <v>89</v>
      </c>
      <c r="N18">
        <v>263</v>
      </c>
      <c r="O18">
        <v>87.666666669999998</v>
      </c>
      <c r="P18">
        <v>88</v>
      </c>
      <c r="Q18">
        <v>4</v>
      </c>
      <c r="R18">
        <v>9.36</v>
      </c>
      <c r="S18" t="s">
        <v>41</v>
      </c>
      <c r="T18" t="s">
        <v>42</v>
      </c>
      <c r="U18">
        <v>11</v>
      </c>
      <c r="W18" t="s">
        <v>51</v>
      </c>
    </row>
    <row r="19" spans="1:27" x14ac:dyDescent="0.25">
      <c r="A19" t="s">
        <v>20</v>
      </c>
      <c r="B19" t="s">
        <v>21</v>
      </c>
      <c r="C19" t="s">
        <v>50</v>
      </c>
      <c r="D19" t="s">
        <v>37</v>
      </c>
      <c r="E19" t="s">
        <v>24</v>
      </c>
      <c r="F19">
        <v>18</v>
      </c>
      <c r="G19">
        <v>32</v>
      </c>
      <c r="H19">
        <v>28</v>
      </c>
      <c r="J19">
        <v>18</v>
      </c>
      <c r="K19">
        <v>4.2426406869999997</v>
      </c>
      <c r="L19">
        <v>18</v>
      </c>
      <c r="M19">
        <v>32</v>
      </c>
      <c r="N19">
        <v>78</v>
      </c>
      <c r="O19">
        <v>26</v>
      </c>
      <c r="P19">
        <v>23</v>
      </c>
      <c r="Q19">
        <v>2</v>
      </c>
      <c r="R19">
        <v>5.0999999999999996</v>
      </c>
      <c r="S19" t="s">
        <v>30</v>
      </c>
      <c r="T19" t="s">
        <v>42</v>
      </c>
      <c r="U19">
        <v>16</v>
      </c>
      <c r="W19" s="1">
        <v>46326</v>
      </c>
      <c r="X19" s="1">
        <v>46387</v>
      </c>
    </row>
    <row r="20" spans="1:27" x14ac:dyDescent="0.25">
      <c r="A20" t="s">
        <v>34</v>
      </c>
      <c r="B20" t="s">
        <v>27</v>
      </c>
      <c r="C20" t="s">
        <v>32</v>
      </c>
      <c r="D20" t="s">
        <v>37</v>
      </c>
      <c r="E20" t="s">
        <v>29</v>
      </c>
      <c r="F20">
        <v>46</v>
      </c>
      <c r="G20">
        <v>42</v>
      </c>
      <c r="H20">
        <v>46</v>
      </c>
      <c r="J20">
        <v>46</v>
      </c>
      <c r="K20">
        <v>6.7823299830000003</v>
      </c>
      <c r="L20">
        <v>42</v>
      </c>
      <c r="M20">
        <v>46</v>
      </c>
      <c r="N20">
        <v>134</v>
      </c>
      <c r="O20">
        <v>44.666666669999998</v>
      </c>
      <c r="P20">
        <v>46</v>
      </c>
      <c r="Q20">
        <v>1</v>
      </c>
      <c r="R20">
        <v>6.68</v>
      </c>
      <c r="S20" t="s">
        <v>33</v>
      </c>
      <c r="T20" t="s">
        <v>26</v>
      </c>
      <c r="U20">
        <v>15</v>
      </c>
      <c r="W20" s="1">
        <v>46477</v>
      </c>
      <c r="X20" s="1">
        <v>46507</v>
      </c>
      <c r="AA20" t="s">
        <v>53</v>
      </c>
    </row>
    <row r="21" spans="1:27" x14ac:dyDescent="0.25">
      <c r="A21" t="s">
        <v>20</v>
      </c>
      <c r="B21" t="s">
        <v>27</v>
      </c>
      <c r="C21" t="s">
        <v>36</v>
      </c>
      <c r="D21" t="s">
        <v>37</v>
      </c>
      <c r="E21" t="s">
        <v>24</v>
      </c>
      <c r="F21">
        <v>54</v>
      </c>
      <c r="G21">
        <v>58</v>
      </c>
      <c r="H21">
        <v>61</v>
      </c>
      <c r="J21">
        <v>54</v>
      </c>
      <c r="K21">
        <v>7.3484692279999999</v>
      </c>
      <c r="L21">
        <v>54</v>
      </c>
      <c r="M21">
        <v>61</v>
      </c>
      <c r="N21">
        <v>173</v>
      </c>
      <c r="O21">
        <v>57.666666669999998</v>
      </c>
      <c r="P21">
        <v>56</v>
      </c>
      <c r="Q21">
        <v>1</v>
      </c>
      <c r="R21">
        <v>7.59</v>
      </c>
      <c r="S21" t="s">
        <v>38</v>
      </c>
      <c r="T21" t="s">
        <v>26</v>
      </c>
      <c r="U21">
        <v>18</v>
      </c>
      <c r="AA21" t="s">
        <v>55</v>
      </c>
    </row>
    <row r="22" spans="1:27" x14ac:dyDescent="0.25">
      <c r="A22" t="s">
        <v>34</v>
      </c>
      <c r="B22" t="s">
        <v>39</v>
      </c>
      <c r="C22" t="s">
        <v>40</v>
      </c>
      <c r="D22" t="s">
        <v>23</v>
      </c>
      <c r="E22" t="s">
        <v>24</v>
      </c>
      <c r="F22">
        <v>66</v>
      </c>
      <c r="G22">
        <v>69</v>
      </c>
      <c r="H22">
        <v>63</v>
      </c>
      <c r="J22">
        <v>66</v>
      </c>
      <c r="K22">
        <v>8.1240384050000003</v>
      </c>
      <c r="L22">
        <v>63</v>
      </c>
      <c r="M22">
        <v>69</v>
      </c>
      <c r="N22">
        <v>198</v>
      </c>
      <c r="O22">
        <v>66</v>
      </c>
      <c r="P22">
        <v>66</v>
      </c>
      <c r="Q22">
        <v>4</v>
      </c>
      <c r="R22">
        <v>8.1199999999999992</v>
      </c>
      <c r="S22" t="s">
        <v>41</v>
      </c>
      <c r="T22" t="s">
        <v>42</v>
      </c>
      <c r="U22">
        <v>11</v>
      </c>
      <c r="W22" t="s">
        <v>54</v>
      </c>
    </row>
    <row r="23" spans="1:27" x14ac:dyDescent="0.25">
      <c r="A23" t="s">
        <v>20</v>
      </c>
      <c r="B23" t="s">
        <v>21</v>
      </c>
      <c r="C23" t="s">
        <v>28</v>
      </c>
      <c r="D23" t="s">
        <v>37</v>
      </c>
      <c r="E23" t="s">
        <v>29</v>
      </c>
      <c r="F23">
        <v>65</v>
      </c>
      <c r="G23">
        <v>75</v>
      </c>
      <c r="H23">
        <v>70</v>
      </c>
      <c r="J23">
        <v>65</v>
      </c>
      <c r="K23">
        <v>8.0622577480000004</v>
      </c>
      <c r="L23">
        <v>65</v>
      </c>
      <c r="M23">
        <v>75</v>
      </c>
      <c r="N23">
        <v>210</v>
      </c>
      <c r="O23">
        <v>70</v>
      </c>
      <c r="P23">
        <v>67.5</v>
      </c>
      <c r="Q23">
        <v>2</v>
      </c>
      <c r="R23">
        <v>8.3699999999999992</v>
      </c>
      <c r="S23" t="s">
        <v>30</v>
      </c>
      <c r="T23" t="s">
        <v>31</v>
      </c>
      <c r="U23">
        <v>12</v>
      </c>
      <c r="W23">
        <v>22</v>
      </c>
      <c r="X23">
        <v>88</v>
      </c>
    </row>
    <row r="24" spans="1:27" x14ac:dyDescent="0.25">
      <c r="A24" t="s">
        <v>34</v>
      </c>
      <c r="B24" t="s">
        <v>39</v>
      </c>
      <c r="C24" t="s">
        <v>28</v>
      </c>
      <c r="D24" t="s">
        <v>23</v>
      </c>
      <c r="E24" t="s">
        <v>24</v>
      </c>
      <c r="F24">
        <v>44</v>
      </c>
      <c r="G24">
        <v>54</v>
      </c>
      <c r="H24">
        <v>53</v>
      </c>
      <c r="J24">
        <v>44</v>
      </c>
      <c r="K24">
        <v>6.6332495810000003</v>
      </c>
      <c r="L24">
        <v>44</v>
      </c>
      <c r="M24">
        <v>54</v>
      </c>
      <c r="N24">
        <v>151</v>
      </c>
      <c r="O24">
        <v>50.333333330000002</v>
      </c>
      <c r="P24">
        <v>48.5</v>
      </c>
      <c r="Q24">
        <v>2</v>
      </c>
      <c r="R24">
        <v>7.09</v>
      </c>
      <c r="S24" t="s">
        <v>30</v>
      </c>
      <c r="T24" t="s">
        <v>31</v>
      </c>
      <c r="U24">
        <v>12</v>
      </c>
    </row>
    <row r="25" spans="1:27" x14ac:dyDescent="0.25">
      <c r="A25" t="s">
        <v>20</v>
      </c>
      <c r="B25" t="s">
        <v>27</v>
      </c>
      <c r="C25" t="s">
        <v>50</v>
      </c>
      <c r="D25" t="s">
        <v>23</v>
      </c>
      <c r="E25" t="s">
        <v>24</v>
      </c>
      <c r="F25">
        <v>69</v>
      </c>
      <c r="G25">
        <v>73</v>
      </c>
      <c r="H25">
        <v>73</v>
      </c>
      <c r="J25">
        <v>69</v>
      </c>
      <c r="K25">
        <v>8.3066238630000004</v>
      </c>
      <c r="L25">
        <v>69</v>
      </c>
      <c r="M25">
        <v>73</v>
      </c>
      <c r="N25">
        <v>215</v>
      </c>
      <c r="O25">
        <v>71.666666669999998</v>
      </c>
      <c r="P25">
        <v>71</v>
      </c>
      <c r="Q25">
        <v>1</v>
      </c>
      <c r="R25">
        <v>8.4700000000000006</v>
      </c>
      <c r="S25" t="s">
        <v>30</v>
      </c>
      <c r="T25" t="s">
        <v>42</v>
      </c>
      <c r="U25">
        <v>16</v>
      </c>
      <c r="AA25" t="s">
        <v>56</v>
      </c>
    </row>
    <row r="26" spans="1:27" x14ac:dyDescent="0.25">
      <c r="A26" t="s">
        <v>34</v>
      </c>
      <c r="B26" t="s">
        <v>39</v>
      </c>
      <c r="C26" t="s">
        <v>22</v>
      </c>
      <c r="D26" t="s">
        <v>37</v>
      </c>
      <c r="E26" t="s">
        <v>29</v>
      </c>
      <c r="F26">
        <v>74</v>
      </c>
      <c r="G26">
        <v>71</v>
      </c>
      <c r="H26">
        <v>80</v>
      </c>
      <c r="J26">
        <v>74</v>
      </c>
      <c r="K26">
        <v>8.6023252669999994</v>
      </c>
      <c r="L26">
        <v>71</v>
      </c>
      <c r="M26">
        <v>80</v>
      </c>
      <c r="N26">
        <v>225</v>
      </c>
      <c r="O26">
        <v>75</v>
      </c>
      <c r="P26">
        <v>74</v>
      </c>
      <c r="Q26">
        <v>1</v>
      </c>
      <c r="R26">
        <v>8.66</v>
      </c>
      <c r="S26" t="s">
        <v>25</v>
      </c>
      <c r="T26" t="s">
        <v>26</v>
      </c>
      <c r="U26">
        <v>17</v>
      </c>
      <c r="AA26">
        <v>2005</v>
      </c>
    </row>
    <row r="27" spans="1:27" x14ac:dyDescent="0.25">
      <c r="A27" t="s">
        <v>34</v>
      </c>
      <c r="B27" t="s">
        <v>35</v>
      </c>
      <c r="C27" t="s">
        <v>32</v>
      </c>
      <c r="D27" t="s">
        <v>37</v>
      </c>
      <c r="E27" t="s">
        <v>24</v>
      </c>
      <c r="F27">
        <v>73</v>
      </c>
      <c r="G27">
        <v>74</v>
      </c>
      <c r="H27">
        <v>72</v>
      </c>
      <c r="J27">
        <v>73</v>
      </c>
      <c r="K27">
        <v>8.5440037449999995</v>
      </c>
      <c r="L27">
        <v>72</v>
      </c>
      <c r="M27">
        <v>74</v>
      </c>
      <c r="N27">
        <v>219</v>
      </c>
      <c r="O27">
        <v>73</v>
      </c>
      <c r="P27">
        <v>73</v>
      </c>
      <c r="Q27">
        <v>4</v>
      </c>
      <c r="R27">
        <v>8.5399999999999991</v>
      </c>
      <c r="S27" t="s">
        <v>33</v>
      </c>
      <c r="T27" t="s">
        <v>26</v>
      </c>
      <c r="U27">
        <v>15</v>
      </c>
      <c r="W27" t="s">
        <v>57</v>
      </c>
    </row>
    <row r="28" spans="1:27" x14ac:dyDescent="0.25">
      <c r="A28" t="s">
        <v>34</v>
      </c>
      <c r="B28" t="s">
        <v>21</v>
      </c>
      <c r="C28" t="s">
        <v>28</v>
      </c>
      <c r="D28" t="s">
        <v>23</v>
      </c>
      <c r="E28" t="s">
        <v>24</v>
      </c>
      <c r="F28">
        <v>69</v>
      </c>
      <c r="G28">
        <v>54</v>
      </c>
      <c r="H28">
        <v>55</v>
      </c>
      <c r="J28">
        <v>69</v>
      </c>
      <c r="K28">
        <v>8.3066238630000004</v>
      </c>
      <c r="L28">
        <v>54</v>
      </c>
      <c r="M28">
        <v>69</v>
      </c>
      <c r="N28">
        <v>178</v>
      </c>
      <c r="O28">
        <v>59.333333330000002</v>
      </c>
      <c r="P28">
        <v>62</v>
      </c>
      <c r="Q28">
        <v>3</v>
      </c>
      <c r="R28">
        <v>7.7</v>
      </c>
      <c r="S28" t="s">
        <v>30</v>
      </c>
      <c r="T28" t="s">
        <v>31</v>
      </c>
      <c r="U28">
        <v>12</v>
      </c>
      <c r="W28">
        <v>1</v>
      </c>
      <c r="X28">
        <v>5</v>
      </c>
    </row>
    <row r="29" spans="1:27" x14ac:dyDescent="0.25">
      <c r="A29" t="s">
        <v>20</v>
      </c>
      <c r="B29" t="s">
        <v>27</v>
      </c>
      <c r="C29" t="s">
        <v>22</v>
      </c>
      <c r="D29" t="s">
        <v>23</v>
      </c>
      <c r="E29" t="s">
        <v>24</v>
      </c>
      <c r="F29">
        <v>67</v>
      </c>
      <c r="G29">
        <v>69</v>
      </c>
      <c r="H29">
        <v>75</v>
      </c>
      <c r="J29">
        <v>67</v>
      </c>
      <c r="K29">
        <v>8.1853527719999999</v>
      </c>
      <c r="L29">
        <v>67</v>
      </c>
      <c r="M29">
        <v>75</v>
      </c>
      <c r="N29">
        <v>211</v>
      </c>
      <c r="O29">
        <v>70.333333330000002</v>
      </c>
      <c r="P29">
        <v>68</v>
      </c>
      <c r="Q29">
        <v>1</v>
      </c>
      <c r="R29">
        <v>8.39</v>
      </c>
      <c r="S29" t="s">
        <v>25</v>
      </c>
      <c r="T29" t="s">
        <v>26</v>
      </c>
      <c r="U29">
        <v>17</v>
      </c>
      <c r="AA29" t="s">
        <v>58</v>
      </c>
    </row>
    <row r="30" spans="1:27" x14ac:dyDescent="0.25">
      <c r="A30" t="s">
        <v>34</v>
      </c>
      <c r="B30" t="s">
        <v>27</v>
      </c>
      <c r="C30" t="s">
        <v>40</v>
      </c>
      <c r="D30" t="s">
        <v>23</v>
      </c>
      <c r="E30" t="s">
        <v>24</v>
      </c>
      <c r="F30">
        <v>70</v>
      </c>
      <c r="G30">
        <v>70</v>
      </c>
      <c r="H30">
        <v>65</v>
      </c>
      <c r="J30">
        <v>70</v>
      </c>
      <c r="K30">
        <v>8.3666002650000006</v>
      </c>
      <c r="L30">
        <v>65</v>
      </c>
      <c r="M30">
        <v>70</v>
      </c>
      <c r="N30">
        <v>205</v>
      </c>
      <c r="O30">
        <v>68.333333330000002</v>
      </c>
      <c r="P30">
        <v>70</v>
      </c>
      <c r="Q30">
        <v>4</v>
      </c>
      <c r="R30">
        <v>8.27</v>
      </c>
      <c r="S30" t="s">
        <v>41</v>
      </c>
      <c r="T30" t="s">
        <v>42</v>
      </c>
      <c r="U30">
        <v>11</v>
      </c>
      <c r="AA30">
        <v>5</v>
      </c>
    </row>
    <row r="31" spans="1:27" x14ac:dyDescent="0.25">
      <c r="A31" t="s">
        <v>20</v>
      </c>
      <c r="B31" t="s">
        <v>39</v>
      </c>
      <c r="C31" t="s">
        <v>32</v>
      </c>
      <c r="D31" t="s">
        <v>23</v>
      </c>
      <c r="E31" t="s">
        <v>24</v>
      </c>
      <c r="F31">
        <v>62</v>
      </c>
      <c r="G31">
        <v>70</v>
      </c>
      <c r="H31">
        <v>75</v>
      </c>
      <c r="J31">
        <v>62</v>
      </c>
      <c r="K31">
        <v>7.8740078740000001</v>
      </c>
      <c r="L31">
        <v>62</v>
      </c>
      <c r="M31">
        <v>75</v>
      </c>
      <c r="N31">
        <v>207</v>
      </c>
      <c r="O31">
        <v>69</v>
      </c>
      <c r="P31">
        <v>66</v>
      </c>
      <c r="Q31">
        <v>1</v>
      </c>
      <c r="R31">
        <v>8.31</v>
      </c>
      <c r="S31" t="s">
        <v>33</v>
      </c>
      <c r="T31" t="s">
        <v>26</v>
      </c>
      <c r="U31">
        <v>15</v>
      </c>
      <c r="W31" t="s">
        <v>59</v>
      </c>
      <c r="X31" t="s">
        <v>60</v>
      </c>
      <c r="Y31" t="s">
        <v>61</v>
      </c>
    </row>
    <row r="32" spans="1:27" x14ac:dyDescent="0.25">
      <c r="A32" t="s">
        <v>20</v>
      </c>
      <c r="B32" t="s">
        <v>39</v>
      </c>
      <c r="C32" t="s">
        <v>28</v>
      </c>
      <c r="D32" t="s">
        <v>23</v>
      </c>
      <c r="E32" t="s">
        <v>24</v>
      </c>
      <c r="F32">
        <v>69</v>
      </c>
      <c r="G32">
        <v>74</v>
      </c>
      <c r="H32">
        <v>74</v>
      </c>
      <c r="J32">
        <v>69</v>
      </c>
      <c r="K32">
        <v>8.3066238630000004</v>
      </c>
      <c r="L32">
        <v>69</v>
      </c>
      <c r="M32">
        <v>74</v>
      </c>
      <c r="N32">
        <v>217</v>
      </c>
      <c r="O32">
        <v>72.333333330000002</v>
      </c>
      <c r="P32">
        <v>71.5</v>
      </c>
      <c r="Q32">
        <v>1</v>
      </c>
      <c r="R32">
        <v>8.5</v>
      </c>
      <c r="S32" t="s">
        <v>30</v>
      </c>
      <c r="T32" t="s">
        <v>31</v>
      </c>
      <c r="U32">
        <v>12</v>
      </c>
      <c r="W32">
        <v>2026</v>
      </c>
      <c r="X32">
        <v>6</v>
      </c>
      <c r="Y32">
        <v>1</v>
      </c>
      <c r="AA32" t="s">
        <v>62</v>
      </c>
    </row>
    <row r="33" spans="1:27" x14ac:dyDescent="0.25">
      <c r="A33" t="s">
        <v>20</v>
      </c>
      <c r="B33" t="s">
        <v>21</v>
      </c>
      <c r="C33" t="s">
        <v>28</v>
      </c>
      <c r="D33" t="s">
        <v>23</v>
      </c>
      <c r="E33" t="s">
        <v>24</v>
      </c>
      <c r="F33">
        <v>63</v>
      </c>
      <c r="G33">
        <v>65</v>
      </c>
      <c r="H33">
        <v>61</v>
      </c>
      <c r="J33">
        <v>63</v>
      </c>
      <c r="K33">
        <v>7.937253933</v>
      </c>
      <c r="L33">
        <v>61</v>
      </c>
      <c r="M33">
        <v>65</v>
      </c>
      <c r="N33">
        <v>189</v>
      </c>
      <c r="O33">
        <v>63</v>
      </c>
      <c r="P33">
        <v>63</v>
      </c>
      <c r="Q33">
        <v>4</v>
      </c>
      <c r="R33">
        <v>7.94</v>
      </c>
      <c r="S33" t="s">
        <v>30</v>
      </c>
      <c r="T33" t="s">
        <v>31</v>
      </c>
      <c r="U33">
        <v>12</v>
      </c>
      <c r="W33">
        <v>2027</v>
      </c>
      <c r="X33">
        <v>4</v>
      </c>
      <c r="Y33">
        <v>30</v>
      </c>
      <c r="AA33" t="s">
        <v>63</v>
      </c>
    </row>
    <row r="34" spans="1:27" x14ac:dyDescent="0.25">
      <c r="A34" t="s">
        <v>20</v>
      </c>
      <c r="B34" t="s">
        <v>64</v>
      </c>
      <c r="C34" t="s">
        <v>32</v>
      </c>
      <c r="D34" t="s">
        <v>37</v>
      </c>
      <c r="E34" t="s">
        <v>24</v>
      </c>
      <c r="F34">
        <v>56</v>
      </c>
      <c r="G34">
        <v>72</v>
      </c>
      <c r="H34">
        <v>65</v>
      </c>
      <c r="J34">
        <v>56</v>
      </c>
      <c r="K34">
        <v>7.4833147740000001</v>
      </c>
      <c r="L34">
        <v>56</v>
      </c>
      <c r="M34">
        <v>72</v>
      </c>
      <c r="N34">
        <v>193</v>
      </c>
      <c r="O34">
        <v>64.333333330000002</v>
      </c>
      <c r="P34">
        <v>60.5</v>
      </c>
      <c r="Q34">
        <v>2</v>
      </c>
      <c r="R34">
        <v>8.02</v>
      </c>
      <c r="S34" t="s">
        <v>33</v>
      </c>
      <c r="T34" t="s">
        <v>26</v>
      </c>
      <c r="U34">
        <v>15</v>
      </c>
    </row>
    <row r="35" spans="1:27" x14ac:dyDescent="0.25">
      <c r="A35" t="s">
        <v>34</v>
      </c>
      <c r="B35" t="s">
        <v>39</v>
      </c>
      <c r="C35" t="s">
        <v>28</v>
      </c>
      <c r="D35" t="s">
        <v>23</v>
      </c>
      <c r="E35" t="s">
        <v>24</v>
      </c>
      <c r="F35">
        <v>40</v>
      </c>
      <c r="G35">
        <v>42</v>
      </c>
      <c r="H35">
        <v>38</v>
      </c>
      <c r="J35">
        <v>40</v>
      </c>
      <c r="K35">
        <v>6.32455532</v>
      </c>
      <c r="L35">
        <v>38</v>
      </c>
      <c r="M35">
        <v>42</v>
      </c>
      <c r="N35">
        <v>120</v>
      </c>
      <c r="O35">
        <v>40</v>
      </c>
      <c r="P35">
        <v>40</v>
      </c>
      <c r="Q35">
        <v>4</v>
      </c>
      <c r="R35">
        <v>6.32</v>
      </c>
      <c r="S35" t="s">
        <v>30</v>
      </c>
      <c r="T35" t="s">
        <v>31</v>
      </c>
      <c r="U35">
        <v>12</v>
      </c>
    </row>
    <row r="36" spans="1:27" x14ac:dyDescent="0.25">
      <c r="A36" t="s">
        <v>34</v>
      </c>
      <c r="B36" t="s">
        <v>64</v>
      </c>
      <c r="C36" t="s">
        <v>28</v>
      </c>
      <c r="D36" t="s">
        <v>23</v>
      </c>
      <c r="E36" t="s">
        <v>24</v>
      </c>
      <c r="F36">
        <v>97</v>
      </c>
      <c r="G36">
        <v>87</v>
      </c>
      <c r="H36">
        <v>82</v>
      </c>
      <c r="J36">
        <v>97</v>
      </c>
      <c r="K36">
        <v>9.8488578019999995</v>
      </c>
      <c r="L36">
        <v>82</v>
      </c>
      <c r="M36">
        <v>97</v>
      </c>
      <c r="N36">
        <v>266</v>
      </c>
      <c r="O36">
        <v>88.666666669999998</v>
      </c>
      <c r="P36">
        <v>92</v>
      </c>
      <c r="Q36">
        <v>4</v>
      </c>
      <c r="R36">
        <v>9.42</v>
      </c>
      <c r="S36" t="s">
        <v>30</v>
      </c>
      <c r="T36" t="s">
        <v>31</v>
      </c>
      <c r="U36">
        <v>12</v>
      </c>
    </row>
    <row r="37" spans="1:27" x14ac:dyDescent="0.25">
      <c r="A37" t="s">
        <v>34</v>
      </c>
      <c r="B37" t="s">
        <v>64</v>
      </c>
      <c r="C37" t="s">
        <v>36</v>
      </c>
      <c r="D37" t="s">
        <v>23</v>
      </c>
      <c r="E37" t="s">
        <v>29</v>
      </c>
      <c r="F37">
        <v>81</v>
      </c>
      <c r="G37">
        <v>81</v>
      </c>
      <c r="H37">
        <v>79</v>
      </c>
      <c r="J37">
        <v>81</v>
      </c>
      <c r="K37">
        <v>9</v>
      </c>
      <c r="L37">
        <v>79</v>
      </c>
      <c r="M37">
        <v>81</v>
      </c>
      <c r="N37">
        <v>241</v>
      </c>
      <c r="O37">
        <v>80.333333330000002</v>
      </c>
      <c r="P37">
        <v>81</v>
      </c>
      <c r="Q37">
        <v>4</v>
      </c>
      <c r="R37">
        <v>8.9600000000000009</v>
      </c>
      <c r="S37" t="s">
        <v>38</v>
      </c>
      <c r="T37" t="s">
        <v>26</v>
      </c>
      <c r="U37">
        <v>18</v>
      </c>
    </row>
    <row r="38" spans="1:27" x14ac:dyDescent="0.25">
      <c r="A38" t="s">
        <v>20</v>
      </c>
      <c r="B38" t="s">
        <v>39</v>
      </c>
      <c r="C38" t="s">
        <v>36</v>
      </c>
      <c r="D38" t="s">
        <v>23</v>
      </c>
      <c r="E38" t="s">
        <v>24</v>
      </c>
      <c r="F38">
        <v>74</v>
      </c>
      <c r="G38">
        <v>81</v>
      </c>
      <c r="H38">
        <v>83</v>
      </c>
      <c r="J38">
        <v>74</v>
      </c>
      <c r="K38">
        <v>8.6023252669999994</v>
      </c>
      <c r="L38">
        <v>74</v>
      </c>
      <c r="M38">
        <v>83</v>
      </c>
      <c r="N38">
        <v>238</v>
      </c>
      <c r="O38">
        <v>79.333333330000002</v>
      </c>
      <c r="P38">
        <v>77.5</v>
      </c>
      <c r="Q38">
        <v>1</v>
      </c>
      <c r="R38">
        <v>8.91</v>
      </c>
      <c r="S38" t="s">
        <v>38</v>
      </c>
      <c r="T38" t="s">
        <v>26</v>
      </c>
      <c r="U38">
        <v>18</v>
      </c>
      <c r="W38" t="s">
        <v>43</v>
      </c>
      <c r="X38" t="s">
        <v>44</v>
      </c>
    </row>
    <row r="39" spans="1:27" x14ac:dyDescent="0.25">
      <c r="A39" t="s">
        <v>20</v>
      </c>
      <c r="B39" t="s">
        <v>39</v>
      </c>
      <c r="C39" t="s">
        <v>50</v>
      </c>
      <c r="D39" t="s">
        <v>37</v>
      </c>
      <c r="E39" t="s">
        <v>24</v>
      </c>
      <c r="F39">
        <v>50</v>
      </c>
      <c r="G39">
        <v>64</v>
      </c>
      <c r="H39">
        <v>59</v>
      </c>
      <c r="J39">
        <v>50</v>
      </c>
      <c r="K39">
        <v>7.0710678119999999</v>
      </c>
      <c r="L39">
        <v>50</v>
      </c>
      <c r="M39">
        <v>64</v>
      </c>
      <c r="N39">
        <v>173</v>
      </c>
      <c r="O39">
        <v>57.666666669999998</v>
      </c>
      <c r="P39">
        <v>54.5</v>
      </c>
      <c r="Q39">
        <v>2</v>
      </c>
      <c r="R39">
        <v>7.59</v>
      </c>
      <c r="S39" t="s">
        <v>30</v>
      </c>
      <c r="T39" t="s">
        <v>42</v>
      </c>
      <c r="U39">
        <v>16</v>
      </c>
      <c r="W39" t="s">
        <v>65</v>
      </c>
      <c r="X39">
        <v>135</v>
      </c>
    </row>
    <row r="40" spans="1:27" x14ac:dyDescent="0.25">
      <c r="A40" t="s">
        <v>20</v>
      </c>
      <c r="B40" t="s">
        <v>39</v>
      </c>
      <c r="C40" t="s">
        <v>36</v>
      </c>
      <c r="D40" t="s">
        <v>37</v>
      </c>
      <c r="E40" t="s">
        <v>29</v>
      </c>
      <c r="F40">
        <v>75</v>
      </c>
      <c r="G40">
        <v>90</v>
      </c>
      <c r="H40">
        <v>88</v>
      </c>
      <c r="J40">
        <v>75</v>
      </c>
      <c r="K40">
        <v>8.6602540379999997</v>
      </c>
      <c r="L40">
        <v>75</v>
      </c>
      <c r="M40">
        <v>90</v>
      </c>
      <c r="N40">
        <v>253</v>
      </c>
      <c r="O40">
        <v>84.333333330000002</v>
      </c>
      <c r="P40">
        <v>81.5</v>
      </c>
      <c r="Q40">
        <v>2</v>
      </c>
      <c r="R40">
        <v>9.18</v>
      </c>
      <c r="S40" t="s">
        <v>38</v>
      </c>
      <c r="T40" t="s">
        <v>26</v>
      </c>
      <c r="U40">
        <v>18</v>
      </c>
      <c r="W40" t="s">
        <v>66</v>
      </c>
      <c r="X40">
        <v>362880</v>
      </c>
    </row>
    <row r="41" spans="1:27" x14ac:dyDescent="0.25">
      <c r="A41" t="s">
        <v>34</v>
      </c>
      <c r="B41" t="s">
        <v>21</v>
      </c>
      <c r="C41" t="s">
        <v>36</v>
      </c>
      <c r="D41" t="s">
        <v>37</v>
      </c>
      <c r="E41" t="s">
        <v>24</v>
      </c>
      <c r="F41">
        <v>57</v>
      </c>
      <c r="G41">
        <v>56</v>
      </c>
      <c r="H41">
        <v>57</v>
      </c>
      <c r="J41">
        <v>57</v>
      </c>
      <c r="K41">
        <v>7.5498344350000002</v>
      </c>
      <c r="L41">
        <v>56</v>
      </c>
      <c r="M41">
        <v>57</v>
      </c>
      <c r="N41">
        <v>170</v>
      </c>
      <c r="O41">
        <v>56.666666669999998</v>
      </c>
      <c r="P41">
        <v>57</v>
      </c>
      <c r="Q41">
        <v>1</v>
      </c>
      <c r="R41">
        <v>7.53</v>
      </c>
      <c r="S41" t="s">
        <v>38</v>
      </c>
      <c r="T41" t="s">
        <v>26</v>
      </c>
      <c r="U41">
        <v>18</v>
      </c>
      <c r="W41" t="s">
        <v>8</v>
      </c>
      <c r="X41">
        <v>25.024000000000001</v>
      </c>
    </row>
    <row r="42" spans="1:27" x14ac:dyDescent="0.25">
      <c r="A42" t="s">
        <v>34</v>
      </c>
      <c r="B42" t="s">
        <v>27</v>
      </c>
      <c r="C42" t="s">
        <v>36</v>
      </c>
      <c r="D42" t="s">
        <v>37</v>
      </c>
      <c r="E42" t="s">
        <v>24</v>
      </c>
      <c r="F42">
        <v>55</v>
      </c>
      <c r="G42">
        <v>61</v>
      </c>
      <c r="H42">
        <v>54</v>
      </c>
      <c r="J42">
        <v>55</v>
      </c>
      <c r="K42">
        <v>7.416198487</v>
      </c>
      <c r="L42">
        <v>54</v>
      </c>
      <c r="M42">
        <v>61</v>
      </c>
      <c r="N42">
        <v>170</v>
      </c>
      <c r="O42">
        <v>56.666666669999998</v>
      </c>
      <c r="P42">
        <v>55</v>
      </c>
      <c r="Q42">
        <v>4</v>
      </c>
      <c r="R42">
        <v>7.53</v>
      </c>
      <c r="S42" t="s">
        <v>38</v>
      </c>
      <c r="T42" t="s">
        <v>26</v>
      </c>
      <c r="U42">
        <v>18</v>
      </c>
      <c r="W42" t="s">
        <v>67</v>
      </c>
      <c r="X42">
        <v>0</v>
      </c>
    </row>
    <row r="43" spans="1:27" x14ac:dyDescent="0.25">
      <c r="A43" t="s">
        <v>20</v>
      </c>
      <c r="B43" t="s">
        <v>27</v>
      </c>
      <c r="C43" t="s">
        <v>36</v>
      </c>
      <c r="D43" t="s">
        <v>23</v>
      </c>
      <c r="E43" t="s">
        <v>24</v>
      </c>
      <c r="F43">
        <v>58</v>
      </c>
      <c r="G43">
        <v>73</v>
      </c>
      <c r="H43">
        <v>68</v>
      </c>
      <c r="J43">
        <v>58</v>
      </c>
      <c r="K43">
        <v>7.6157731059999998</v>
      </c>
      <c r="L43">
        <v>58</v>
      </c>
      <c r="M43">
        <v>73</v>
      </c>
      <c r="N43">
        <v>199</v>
      </c>
      <c r="O43">
        <v>66.333333330000002</v>
      </c>
      <c r="P43">
        <v>63</v>
      </c>
      <c r="Q43">
        <v>2</v>
      </c>
      <c r="R43">
        <v>8.14</v>
      </c>
      <c r="S43" t="s">
        <v>38</v>
      </c>
      <c r="T43" t="s">
        <v>26</v>
      </c>
      <c r="U43">
        <v>18</v>
      </c>
    </row>
    <row r="44" spans="1:27" x14ac:dyDescent="0.25">
      <c r="A44" t="s">
        <v>20</v>
      </c>
      <c r="B44" t="s">
        <v>21</v>
      </c>
      <c r="C44" t="s">
        <v>36</v>
      </c>
      <c r="D44" t="s">
        <v>23</v>
      </c>
      <c r="E44" t="s">
        <v>24</v>
      </c>
      <c r="F44">
        <v>53</v>
      </c>
      <c r="G44">
        <v>58</v>
      </c>
      <c r="H44">
        <v>65</v>
      </c>
      <c r="J44">
        <v>53</v>
      </c>
      <c r="K44">
        <v>7.2801098890000002</v>
      </c>
      <c r="L44">
        <v>53</v>
      </c>
      <c r="M44">
        <v>65</v>
      </c>
      <c r="N44">
        <v>176</v>
      </c>
      <c r="O44">
        <v>58.666666669999998</v>
      </c>
      <c r="P44">
        <v>55.5</v>
      </c>
      <c r="Q44">
        <v>1</v>
      </c>
      <c r="R44">
        <v>7.66</v>
      </c>
      <c r="S44" t="s">
        <v>38</v>
      </c>
      <c r="T44" t="s">
        <v>26</v>
      </c>
      <c r="U44">
        <v>18</v>
      </c>
    </row>
    <row r="45" spans="1:27" x14ac:dyDescent="0.25">
      <c r="A45" t="s">
        <v>34</v>
      </c>
      <c r="B45" t="s">
        <v>21</v>
      </c>
      <c r="C45" t="s">
        <v>28</v>
      </c>
      <c r="D45" t="s">
        <v>37</v>
      </c>
      <c r="E45" t="s">
        <v>29</v>
      </c>
      <c r="F45">
        <v>59</v>
      </c>
      <c r="G45">
        <v>65</v>
      </c>
      <c r="H45">
        <v>66</v>
      </c>
      <c r="J45">
        <v>59</v>
      </c>
      <c r="K45">
        <v>7.6811457479999996</v>
      </c>
      <c r="L45">
        <v>59</v>
      </c>
      <c r="M45">
        <v>66</v>
      </c>
      <c r="N45">
        <v>190</v>
      </c>
      <c r="O45">
        <v>63.333333330000002</v>
      </c>
      <c r="P45">
        <v>62</v>
      </c>
      <c r="Q45">
        <v>1</v>
      </c>
      <c r="R45">
        <v>7.96</v>
      </c>
      <c r="S45" t="s">
        <v>30</v>
      </c>
      <c r="T45" t="s">
        <v>31</v>
      </c>
      <c r="U45">
        <v>12</v>
      </c>
    </row>
    <row r="46" spans="1:27" x14ac:dyDescent="0.25">
      <c r="A46" t="s">
        <v>20</v>
      </c>
      <c r="B46" t="s">
        <v>64</v>
      </c>
      <c r="C46" t="s">
        <v>36</v>
      </c>
      <c r="D46" t="s">
        <v>37</v>
      </c>
      <c r="E46" t="s">
        <v>24</v>
      </c>
      <c r="F46">
        <v>50</v>
      </c>
      <c r="G46">
        <v>56</v>
      </c>
      <c r="H46">
        <v>54</v>
      </c>
      <c r="J46">
        <v>50</v>
      </c>
      <c r="K46">
        <v>7.0710678119999999</v>
      </c>
      <c r="L46">
        <v>50</v>
      </c>
      <c r="M46">
        <v>56</v>
      </c>
      <c r="N46">
        <v>160</v>
      </c>
      <c r="O46">
        <v>53.333333330000002</v>
      </c>
      <c r="P46">
        <v>52</v>
      </c>
      <c r="Q46">
        <v>2</v>
      </c>
      <c r="R46">
        <v>7.3</v>
      </c>
      <c r="S46" t="s">
        <v>38</v>
      </c>
      <c r="T46" t="s">
        <v>26</v>
      </c>
      <c r="U46">
        <v>18</v>
      </c>
    </row>
    <row r="47" spans="1:27" x14ac:dyDescent="0.25">
      <c r="A47" t="s">
        <v>34</v>
      </c>
      <c r="B47" t="s">
        <v>21</v>
      </c>
      <c r="C47" t="s">
        <v>36</v>
      </c>
      <c r="D47" t="s">
        <v>23</v>
      </c>
      <c r="E47" t="s">
        <v>24</v>
      </c>
      <c r="F47">
        <v>65</v>
      </c>
      <c r="G47">
        <v>54</v>
      </c>
      <c r="H47">
        <v>57</v>
      </c>
      <c r="J47">
        <v>65</v>
      </c>
      <c r="K47">
        <v>8.0622577480000004</v>
      </c>
      <c r="L47">
        <v>54</v>
      </c>
      <c r="M47">
        <v>65</v>
      </c>
      <c r="N47">
        <v>176</v>
      </c>
      <c r="O47">
        <v>58.666666669999998</v>
      </c>
      <c r="P47">
        <v>61</v>
      </c>
      <c r="Q47">
        <v>3</v>
      </c>
      <c r="R47">
        <v>7.66</v>
      </c>
      <c r="S47" t="s">
        <v>38</v>
      </c>
      <c r="T47" t="s">
        <v>26</v>
      </c>
      <c r="U47">
        <v>18</v>
      </c>
    </row>
    <row r="48" spans="1:27" x14ac:dyDescent="0.25">
      <c r="A48" t="s">
        <v>20</v>
      </c>
      <c r="B48" t="s">
        <v>35</v>
      </c>
      <c r="C48" t="s">
        <v>36</v>
      </c>
      <c r="D48" t="s">
        <v>23</v>
      </c>
      <c r="E48" t="s">
        <v>29</v>
      </c>
      <c r="F48">
        <v>55</v>
      </c>
      <c r="G48">
        <v>65</v>
      </c>
      <c r="H48">
        <v>62</v>
      </c>
      <c r="J48">
        <v>55</v>
      </c>
      <c r="K48">
        <v>7.416198487</v>
      </c>
      <c r="L48">
        <v>55</v>
      </c>
      <c r="M48">
        <v>65</v>
      </c>
      <c r="N48">
        <v>182</v>
      </c>
      <c r="O48">
        <v>60.666666669999998</v>
      </c>
      <c r="P48">
        <v>58.5</v>
      </c>
      <c r="Q48">
        <v>2</v>
      </c>
      <c r="R48">
        <v>7.79</v>
      </c>
      <c r="S48" t="s">
        <v>38</v>
      </c>
      <c r="T48" t="s">
        <v>26</v>
      </c>
      <c r="U48">
        <v>18</v>
      </c>
    </row>
    <row r="49" spans="1:21" x14ac:dyDescent="0.25">
      <c r="A49" t="s">
        <v>20</v>
      </c>
      <c r="B49" t="s">
        <v>27</v>
      </c>
      <c r="C49" t="s">
        <v>40</v>
      </c>
      <c r="D49" t="s">
        <v>23</v>
      </c>
      <c r="E49" t="s">
        <v>24</v>
      </c>
      <c r="F49">
        <v>66</v>
      </c>
      <c r="G49">
        <v>71</v>
      </c>
      <c r="H49">
        <v>76</v>
      </c>
      <c r="J49">
        <v>66</v>
      </c>
      <c r="K49">
        <v>8.1240384050000003</v>
      </c>
      <c r="L49">
        <v>66</v>
      </c>
      <c r="M49">
        <v>76</v>
      </c>
      <c r="N49">
        <v>213</v>
      </c>
      <c r="O49">
        <v>71</v>
      </c>
      <c r="P49">
        <v>68.5</v>
      </c>
      <c r="Q49">
        <v>1</v>
      </c>
      <c r="R49">
        <v>8.43</v>
      </c>
      <c r="S49" t="s">
        <v>41</v>
      </c>
      <c r="T49" t="s">
        <v>42</v>
      </c>
      <c r="U49">
        <v>11</v>
      </c>
    </row>
    <row r="50" spans="1:21" x14ac:dyDescent="0.25">
      <c r="A50" t="s">
        <v>20</v>
      </c>
      <c r="B50" t="s">
        <v>39</v>
      </c>
      <c r="C50" t="s">
        <v>36</v>
      </c>
      <c r="D50" t="s">
        <v>37</v>
      </c>
      <c r="E50" t="s">
        <v>29</v>
      </c>
      <c r="F50">
        <v>57</v>
      </c>
      <c r="G50">
        <v>74</v>
      </c>
      <c r="H50">
        <v>76</v>
      </c>
      <c r="J50">
        <v>57</v>
      </c>
      <c r="K50">
        <v>7.5498344350000002</v>
      </c>
      <c r="L50">
        <v>57</v>
      </c>
      <c r="M50">
        <v>76</v>
      </c>
      <c r="N50">
        <v>207</v>
      </c>
      <c r="O50">
        <v>69</v>
      </c>
      <c r="P50">
        <v>65.5</v>
      </c>
      <c r="Q50">
        <v>1</v>
      </c>
      <c r="R50">
        <v>8.31</v>
      </c>
      <c r="S50" t="s">
        <v>38</v>
      </c>
      <c r="T50" t="s">
        <v>26</v>
      </c>
      <c r="U50">
        <v>18</v>
      </c>
    </row>
    <row r="51" spans="1:21" x14ac:dyDescent="0.25">
      <c r="A51" t="s">
        <v>34</v>
      </c>
      <c r="B51" t="s">
        <v>27</v>
      </c>
      <c r="C51" t="s">
        <v>40</v>
      </c>
      <c r="D51" t="s">
        <v>23</v>
      </c>
      <c r="E51" t="s">
        <v>29</v>
      </c>
      <c r="F51">
        <v>82</v>
      </c>
      <c r="G51">
        <v>84</v>
      </c>
      <c r="H51">
        <v>82</v>
      </c>
      <c r="J51">
        <v>82</v>
      </c>
      <c r="K51">
        <v>9.0553851380000001</v>
      </c>
      <c r="L51">
        <v>82</v>
      </c>
      <c r="M51">
        <v>84</v>
      </c>
      <c r="N51">
        <v>248</v>
      </c>
      <c r="O51">
        <v>82.666666669999998</v>
      </c>
      <c r="P51">
        <v>82</v>
      </c>
      <c r="Q51">
        <v>2</v>
      </c>
      <c r="R51">
        <v>9.09</v>
      </c>
      <c r="S51" t="s">
        <v>41</v>
      </c>
      <c r="T51" t="s">
        <v>42</v>
      </c>
      <c r="U51">
        <v>11</v>
      </c>
    </row>
    <row r="52" spans="1:21" x14ac:dyDescent="0.25">
      <c r="A52" t="s">
        <v>34</v>
      </c>
      <c r="B52" t="s">
        <v>64</v>
      </c>
      <c r="C52" t="s">
        <v>28</v>
      </c>
      <c r="D52" t="s">
        <v>23</v>
      </c>
      <c r="E52" t="s">
        <v>24</v>
      </c>
      <c r="F52">
        <v>53</v>
      </c>
      <c r="G52">
        <v>55</v>
      </c>
      <c r="H52">
        <v>48</v>
      </c>
      <c r="J52">
        <v>53</v>
      </c>
      <c r="K52">
        <v>7.2801098890000002</v>
      </c>
      <c r="L52">
        <v>48</v>
      </c>
      <c r="M52">
        <v>55</v>
      </c>
      <c r="N52">
        <v>156</v>
      </c>
      <c r="O52">
        <v>52</v>
      </c>
      <c r="P52">
        <v>53</v>
      </c>
      <c r="Q52">
        <v>4</v>
      </c>
      <c r="R52">
        <v>7.21</v>
      </c>
      <c r="S52" t="s">
        <v>30</v>
      </c>
      <c r="T52" t="s">
        <v>31</v>
      </c>
      <c r="U52">
        <v>12</v>
      </c>
    </row>
    <row r="53" spans="1:21" x14ac:dyDescent="0.25">
      <c r="A53" t="s">
        <v>34</v>
      </c>
      <c r="B53" t="s">
        <v>64</v>
      </c>
      <c r="C53" t="s">
        <v>36</v>
      </c>
      <c r="D53" t="s">
        <v>37</v>
      </c>
      <c r="E53" t="s">
        <v>29</v>
      </c>
      <c r="F53">
        <v>77</v>
      </c>
      <c r="G53">
        <v>69</v>
      </c>
      <c r="H53">
        <v>68</v>
      </c>
      <c r="J53">
        <v>77</v>
      </c>
      <c r="K53">
        <v>8.7749643870000007</v>
      </c>
      <c r="L53">
        <v>68</v>
      </c>
      <c r="M53">
        <v>77</v>
      </c>
      <c r="N53">
        <v>214</v>
      </c>
      <c r="O53">
        <v>71.333333330000002</v>
      </c>
      <c r="P53">
        <v>73</v>
      </c>
      <c r="Q53">
        <v>4</v>
      </c>
      <c r="R53">
        <v>8.4499999999999993</v>
      </c>
      <c r="S53" t="s">
        <v>38</v>
      </c>
      <c r="T53" t="s">
        <v>26</v>
      </c>
      <c r="U53">
        <v>18</v>
      </c>
    </row>
    <row r="54" spans="1:21" x14ac:dyDescent="0.25">
      <c r="A54" t="s">
        <v>34</v>
      </c>
      <c r="B54" t="s">
        <v>27</v>
      </c>
      <c r="C54" t="s">
        <v>28</v>
      </c>
      <c r="D54" t="s">
        <v>23</v>
      </c>
      <c r="E54" t="s">
        <v>24</v>
      </c>
      <c r="F54">
        <v>53</v>
      </c>
      <c r="G54">
        <v>44</v>
      </c>
      <c r="H54">
        <v>42</v>
      </c>
      <c r="J54">
        <v>53</v>
      </c>
      <c r="K54">
        <v>7.2801098890000002</v>
      </c>
      <c r="L54">
        <v>42</v>
      </c>
      <c r="M54">
        <v>53</v>
      </c>
      <c r="N54">
        <v>139</v>
      </c>
      <c r="O54">
        <v>46.333333330000002</v>
      </c>
      <c r="P54">
        <v>48.5</v>
      </c>
      <c r="Q54">
        <v>4</v>
      </c>
      <c r="R54">
        <v>6.81</v>
      </c>
      <c r="S54" t="s">
        <v>30</v>
      </c>
      <c r="T54" t="s">
        <v>31</v>
      </c>
      <c r="U54">
        <v>12</v>
      </c>
    </row>
    <row r="55" spans="1:21" x14ac:dyDescent="0.25">
      <c r="A55" t="s">
        <v>34</v>
      </c>
      <c r="B55" t="s">
        <v>39</v>
      </c>
      <c r="C55" t="s">
        <v>40</v>
      </c>
      <c r="D55" t="s">
        <v>23</v>
      </c>
      <c r="E55" t="s">
        <v>24</v>
      </c>
      <c r="F55">
        <v>88</v>
      </c>
      <c r="G55">
        <v>78</v>
      </c>
      <c r="H55">
        <v>75</v>
      </c>
      <c r="J55">
        <v>88</v>
      </c>
      <c r="K55">
        <v>9.3808315199999992</v>
      </c>
      <c r="L55">
        <v>75</v>
      </c>
      <c r="M55">
        <v>88</v>
      </c>
      <c r="N55">
        <v>241</v>
      </c>
      <c r="O55">
        <v>80.333333330000002</v>
      </c>
      <c r="P55">
        <v>83</v>
      </c>
      <c r="Q55">
        <v>4</v>
      </c>
      <c r="R55">
        <v>8.9600000000000009</v>
      </c>
      <c r="S55" t="s">
        <v>41</v>
      </c>
      <c r="T55" t="s">
        <v>42</v>
      </c>
      <c r="U55">
        <v>11</v>
      </c>
    </row>
    <row r="56" spans="1:21" x14ac:dyDescent="0.25">
      <c r="A56" t="s">
        <v>20</v>
      </c>
      <c r="B56" t="s">
        <v>27</v>
      </c>
      <c r="C56" t="s">
        <v>50</v>
      </c>
      <c r="D56" t="s">
        <v>37</v>
      </c>
      <c r="E56" t="s">
        <v>29</v>
      </c>
      <c r="F56">
        <v>71</v>
      </c>
      <c r="G56">
        <v>84</v>
      </c>
      <c r="H56">
        <v>87</v>
      </c>
      <c r="J56">
        <v>71</v>
      </c>
      <c r="K56">
        <v>8.4261497730000006</v>
      </c>
      <c r="L56">
        <v>71</v>
      </c>
      <c r="M56">
        <v>87</v>
      </c>
      <c r="N56">
        <v>242</v>
      </c>
      <c r="O56">
        <v>80.666666669999998</v>
      </c>
      <c r="P56">
        <v>77.5</v>
      </c>
      <c r="Q56">
        <v>1</v>
      </c>
      <c r="R56">
        <v>8.98</v>
      </c>
      <c r="S56" t="s">
        <v>30</v>
      </c>
      <c r="T56" t="s">
        <v>42</v>
      </c>
      <c r="U56">
        <v>16</v>
      </c>
    </row>
    <row r="57" spans="1:21" x14ac:dyDescent="0.25">
      <c r="A57" t="s">
        <v>20</v>
      </c>
      <c r="B57" t="s">
        <v>27</v>
      </c>
      <c r="C57" t="s">
        <v>40</v>
      </c>
      <c r="D57" t="s">
        <v>37</v>
      </c>
      <c r="E57" t="s">
        <v>24</v>
      </c>
      <c r="F57">
        <v>33</v>
      </c>
      <c r="G57">
        <v>41</v>
      </c>
      <c r="H57">
        <v>43</v>
      </c>
      <c r="J57">
        <v>33</v>
      </c>
      <c r="K57">
        <v>5.7445626470000004</v>
      </c>
      <c r="L57">
        <v>33</v>
      </c>
      <c r="M57">
        <v>43</v>
      </c>
      <c r="N57">
        <v>117</v>
      </c>
      <c r="O57">
        <v>39</v>
      </c>
      <c r="P57">
        <v>37</v>
      </c>
      <c r="Q57">
        <v>1</v>
      </c>
      <c r="R57">
        <v>6.24</v>
      </c>
      <c r="S57" t="s">
        <v>41</v>
      </c>
      <c r="T57" t="s">
        <v>42</v>
      </c>
      <c r="U57">
        <v>11</v>
      </c>
    </row>
    <row r="58" spans="1:21" x14ac:dyDescent="0.25">
      <c r="A58" t="s">
        <v>20</v>
      </c>
      <c r="B58" t="s">
        <v>64</v>
      </c>
      <c r="C58" t="s">
        <v>36</v>
      </c>
      <c r="D58" t="s">
        <v>23</v>
      </c>
      <c r="E58" t="s">
        <v>29</v>
      </c>
      <c r="F58">
        <v>82</v>
      </c>
      <c r="G58">
        <v>85</v>
      </c>
      <c r="H58">
        <v>86</v>
      </c>
      <c r="J58">
        <v>82</v>
      </c>
      <c r="K58">
        <v>9.0553851380000001</v>
      </c>
      <c r="L58">
        <v>82</v>
      </c>
      <c r="M58">
        <v>86</v>
      </c>
      <c r="N58">
        <v>253</v>
      </c>
      <c r="O58">
        <v>84.333333330000002</v>
      </c>
      <c r="P58">
        <v>83.5</v>
      </c>
      <c r="Q58">
        <v>1</v>
      </c>
      <c r="R58">
        <v>9.18</v>
      </c>
      <c r="S58" t="s">
        <v>38</v>
      </c>
      <c r="T58" t="s">
        <v>26</v>
      </c>
      <c r="U58">
        <v>18</v>
      </c>
    </row>
    <row r="59" spans="1:21" x14ac:dyDescent="0.25">
      <c r="A59" t="s">
        <v>34</v>
      </c>
      <c r="B59" t="s">
        <v>39</v>
      </c>
      <c r="C59" t="s">
        <v>36</v>
      </c>
      <c r="D59" t="s">
        <v>23</v>
      </c>
      <c r="E59" t="s">
        <v>24</v>
      </c>
      <c r="F59">
        <v>52</v>
      </c>
      <c r="G59">
        <v>55</v>
      </c>
      <c r="H59">
        <v>49</v>
      </c>
      <c r="J59">
        <v>52</v>
      </c>
      <c r="K59">
        <v>7.2111025509999997</v>
      </c>
      <c r="L59">
        <v>49</v>
      </c>
      <c r="M59">
        <v>55</v>
      </c>
      <c r="N59">
        <v>156</v>
      </c>
      <c r="O59">
        <v>52</v>
      </c>
      <c r="P59">
        <v>52</v>
      </c>
      <c r="Q59">
        <v>4</v>
      </c>
      <c r="R59">
        <v>7.21</v>
      </c>
      <c r="S59" t="s">
        <v>38</v>
      </c>
      <c r="T59" t="s">
        <v>26</v>
      </c>
      <c r="U59">
        <v>18</v>
      </c>
    </row>
    <row r="60" spans="1:21" x14ac:dyDescent="0.25">
      <c r="A60" t="s">
        <v>34</v>
      </c>
      <c r="B60" t="s">
        <v>39</v>
      </c>
      <c r="C60" t="s">
        <v>28</v>
      </c>
      <c r="D60" t="s">
        <v>23</v>
      </c>
      <c r="E60" t="s">
        <v>29</v>
      </c>
      <c r="F60">
        <v>58</v>
      </c>
      <c r="G60">
        <v>59</v>
      </c>
      <c r="H60">
        <v>58</v>
      </c>
      <c r="J60">
        <v>58</v>
      </c>
      <c r="K60">
        <v>7.6157731059999998</v>
      </c>
      <c r="L60">
        <v>58</v>
      </c>
      <c r="M60">
        <v>59</v>
      </c>
      <c r="N60">
        <v>175</v>
      </c>
      <c r="O60">
        <v>58.333333330000002</v>
      </c>
      <c r="P60">
        <v>58</v>
      </c>
      <c r="Q60">
        <v>2</v>
      </c>
      <c r="R60">
        <v>7.64</v>
      </c>
      <c r="S60" t="s">
        <v>30</v>
      </c>
      <c r="T60" t="s">
        <v>31</v>
      </c>
      <c r="U60">
        <v>12</v>
      </c>
    </row>
    <row r="61" spans="1:21" x14ac:dyDescent="0.25">
      <c r="A61" t="s">
        <v>20</v>
      </c>
      <c r="B61" t="s">
        <v>27</v>
      </c>
      <c r="C61" t="s">
        <v>50</v>
      </c>
      <c r="D61" t="s">
        <v>37</v>
      </c>
      <c r="E61" t="s">
        <v>24</v>
      </c>
      <c r="F61">
        <v>0</v>
      </c>
      <c r="G61">
        <v>17</v>
      </c>
      <c r="H61">
        <v>10</v>
      </c>
      <c r="J61">
        <v>0</v>
      </c>
      <c r="K61">
        <v>0</v>
      </c>
      <c r="L61">
        <v>0</v>
      </c>
      <c r="M61">
        <v>17</v>
      </c>
      <c r="N61">
        <v>27</v>
      </c>
      <c r="O61">
        <v>9</v>
      </c>
      <c r="P61">
        <v>5</v>
      </c>
      <c r="Q61">
        <v>2</v>
      </c>
      <c r="R61">
        <v>3</v>
      </c>
      <c r="S61" t="s">
        <v>30</v>
      </c>
      <c r="T61" t="s">
        <v>42</v>
      </c>
      <c r="U61">
        <v>16</v>
      </c>
    </row>
    <row r="62" spans="1:21" x14ac:dyDescent="0.25">
      <c r="A62" t="s">
        <v>34</v>
      </c>
      <c r="B62" t="s">
        <v>64</v>
      </c>
      <c r="C62" t="s">
        <v>22</v>
      </c>
      <c r="D62" t="s">
        <v>37</v>
      </c>
      <c r="E62" t="s">
        <v>29</v>
      </c>
      <c r="F62">
        <v>79</v>
      </c>
      <c r="G62">
        <v>74</v>
      </c>
      <c r="H62">
        <v>72</v>
      </c>
      <c r="J62">
        <v>79</v>
      </c>
      <c r="K62">
        <v>8.8881944169999993</v>
      </c>
      <c r="L62">
        <v>72</v>
      </c>
      <c r="M62">
        <v>79</v>
      </c>
      <c r="N62">
        <v>225</v>
      </c>
      <c r="O62">
        <v>75</v>
      </c>
      <c r="P62">
        <v>76.5</v>
      </c>
      <c r="Q62">
        <v>4</v>
      </c>
      <c r="R62">
        <v>8.66</v>
      </c>
      <c r="S62" t="s">
        <v>25</v>
      </c>
      <c r="T62" t="s">
        <v>26</v>
      </c>
      <c r="U62">
        <v>17</v>
      </c>
    </row>
    <row r="63" spans="1:21" x14ac:dyDescent="0.25">
      <c r="A63" t="s">
        <v>34</v>
      </c>
      <c r="B63" t="s">
        <v>35</v>
      </c>
      <c r="C63" t="s">
        <v>50</v>
      </c>
      <c r="D63" t="s">
        <v>37</v>
      </c>
      <c r="E63" t="s">
        <v>24</v>
      </c>
      <c r="F63">
        <v>39</v>
      </c>
      <c r="G63">
        <v>39</v>
      </c>
      <c r="H63">
        <v>34</v>
      </c>
      <c r="J63">
        <v>39</v>
      </c>
      <c r="K63">
        <v>6.2449979979999997</v>
      </c>
      <c r="L63">
        <v>34</v>
      </c>
      <c r="M63">
        <v>39</v>
      </c>
      <c r="N63">
        <v>112</v>
      </c>
      <c r="O63">
        <v>37.333333330000002</v>
      </c>
      <c r="P63">
        <v>39</v>
      </c>
      <c r="Q63">
        <v>4</v>
      </c>
      <c r="R63">
        <v>6.11</v>
      </c>
      <c r="S63" t="s">
        <v>30</v>
      </c>
      <c r="T63" t="s">
        <v>42</v>
      </c>
      <c r="U63">
        <v>16</v>
      </c>
    </row>
    <row r="64" spans="1:21" x14ac:dyDescent="0.25">
      <c r="A64" t="s">
        <v>34</v>
      </c>
      <c r="B64" t="s">
        <v>35</v>
      </c>
      <c r="C64" t="s">
        <v>36</v>
      </c>
      <c r="D64" t="s">
        <v>37</v>
      </c>
      <c r="E64" t="s">
        <v>24</v>
      </c>
      <c r="F64">
        <v>62</v>
      </c>
      <c r="G64">
        <v>61</v>
      </c>
      <c r="H64">
        <v>55</v>
      </c>
      <c r="J64">
        <v>62</v>
      </c>
      <c r="K64">
        <v>7.8740078740000001</v>
      </c>
      <c r="L64">
        <v>55</v>
      </c>
      <c r="M64">
        <v>62</v>
      </c>
      <c r="N64">
        <v>178</v>
      </c>
      <c r="O64">
        <v>59.333333330000002</v>
      </c>
      <c r="P64">
        <v>61.5</v>
      </c>
      <c r="Q64">
        <v>4</v>
      </c>
      <c r="R64">
        <v>7.7</v>
      </c>
      <c r="S64" t="s">
        <v>38</v>
      </c>
      <c r="T64" t="s">
        <v>26</v>
      </c>
      <c r="U64">
        <v>18</v>
      </c>
    </row>
    <row r="65" spans="1:21" x14ac:dyDescent="0.25">
      <c r="A65" t="s">
        <v>20</v>
      </c>
      <c r="B65" t="s">
        <v>27</v>
      </c>
      <c r="C65" t="s">
        <v>36</v>
      </c>
      <c r="D65" t="s">
        <v>23</v>
      </c>
      <c r="E65" t="s">
        <v>24</v>
      </c>
      <c r="F65">
        <v>69</v>
      </c>
      <c r="G65">
        <v>80</v>
      </c>
      <c r="H65">
        <v>71</v>
      </c>
      <c r="J65">
        <v>69</v>
      </c>
      <c r="K65">
        <v>8.3066238630000004</v>
      </c>
      <c r="L65">
        <v>69</v>
      </c>
      <c r="M65">
        <v>80</v>
      </c>
      <c r="N65">
        <v>220</v>
      </c>
      <c r="O65">
        <v>73.333333330000002</v>
      </c>
      <c r="P65">
        <v>70</v>
      </c>
      <c r="Q65">
        <v>2</v>
      </c>
      <c r="R65">
        <v>8.56</v>
      </c>
      <c r="S65" t="s">
        <v>38</v>
      </c>
      <c r="T65" t="s">
        <v>26</v>
      </c>
      <c r="U65">
        <v>18</v>
      </c>
    </row>
    <row r="66" spans="1:21" x14ac:dyDescent="0.25">
      <c r="A66" t="s">
        <v>20</v>
      </c>
      <c r="B66" t="s">
        <v>39</v>
      </c>
      <c r="C66" t="s">
        <v>50</v>
      </c>
      <c r="D66" t="s">
        <v>23</v>
      </c>
      <c r="E66" t="s">
        <v>24</v>
      </c>
      <c r="F66">
        <v>59</v>
      </c>
      <c r="G66">
        <v>58</v>
      </c>
      <c r="H66">
        <v>59</v>
      </c>
      <c r="J66">
        <v>59</v>
      </c>
      <c r="K66">
        <v>7.6811457479999996</v>
      </c>
      <c r="L66">
        <v>58</v>
      </c>
      <c r="M66">
        <v>59</v>
      </c>
      <c r="N66">
        <v>176</v>
      </c>
      <c r="O66">
        <v>58.666666669999998</v>
      </c>
      <c r="P66">
        <v>59</v>
      </c>
      <c r="Q66">
        <v>1</v>
      </c>
      <c r="R66">
        <v>7.66</v>
      </c>
      <c r="S66" t="s">
        <v>30</v>
      </c>
      <c r="T66" t="s">
        <v>42</v>
      </c>
      <c r="U66">
        <v>16</v>
      </c>
    </row>
    <row r="67" spans="1:21" x14ac:dyDescent="0.25">
      <c r="A67" t="s">
        <v>34</v>
      </c>
      <c r="B67" t="s">
        <v>21</v>
      </c>
      <c r="C67" t="s">
        <v>50</v>
      </c>
      <c r="D67" t="s">
        <v>23</v>
      </c>
      <c r="E67" t="s">
        <v>24</v>
      </c>
      <c r="F67">
        <v>67</v>
      </c>
      <c r="G67">
        <v>64</v>
      </c>
      <c r="H67">
        <v>61</v>
      </c>
      <c r="J67">
        <v>67</v>
      </c>
      <c r="K67">
        <v>8.1853527719999999</v>
      </c>
      <c r="L67">
        <v>61</v>
      </c>
      <c r="M67">
        <v>67</v>
      </c>
      <c r="N67">
        <v>192</v>
      </c>
      <c r="O67">
        <v>64</v>
      </c>
      <c r="P67">
        <v>65.5</v>
      </c>
      <c r="Q67">
        <v>4</v>
      </c>
      <c r="R67">
        <v>8</v>
      </c>
      <c r="S67" t="s">
        <v>30</v>
      </c>
      <c r="T67" t="s">
        <v>42</v>
      </c>
      <c r="U67">
        <v>16</v>
      </c>
    </row>
    <row r="68" spans="1:21" x14ac:dyDescent="0.25">
      <c r="A68" t="s">
        <v>34</v>
      </c>
      <c r="B68" t="s">
        <v>39</v>
      </c>
      <c r="C68" t="s">
        <v>50</v>
      </c>
      <c r="D68" t="s">
        <v>37</v>
      </c>
      <c r="E68" t="s">
        <v>24</v>
      </c>
      <c r="F68">
        <v>45</v>
      </c>
      <c r="G68">
        <v>37</v>
      </c>
      <c r="H68">
        <v>37</v>
      </c>
      <c r="J68">
        <v>45</v>
      </c>
      <c r="K68">
        <v>6.708203932</v>
      </c>
      <c r="L68">
        <v>37</v>
      </c>
      <c r="M68">
        <v>45</v>
      </c>
      <c r="N68">
        <v>119</v>
      </c>
      <c r="O68">
        <v>39.666666669999998</v>
      </c>
      <c r="P68">
        <v>41</v>
      </c>
      <c r="Q68">
        <v>3</v>
      </c>
      <c r="R68">
        <v>6.3</v>
      </c>
      <c r="S68" t="s">
        <v>30</v>
      </c>
      <c r="T68" t="s">
        <v>42</v>
      </c>
      <c r="U68">
        <v>16</v>
      </c>
    </row>
    <row r="69" spans="1:21" x14ac:dyDescent="0.25">
      <c r="A69" t="s">
        <v>20</v>
      </c>
      <c r="B69" t="s">
        <v>27</v>
      </c>
      <c r="C69" t="s">
        <v>28</v>
      </c>
      <c r="D69" t="s">
        <v>23</v>
      </c>
      <c r="E69" t="s">
        <v>24</v>
      </c>
      <c r="F69">
        <v>60</v>
      </c>
      <c r="G69">
        <v>72</v>
      </c>
      <c r="H69">
        <v>74</v>
      </c>
      <c r="J69">
        <v>60</v>
      </c>
      <c r="K69">
        <v>7.7459666919999997</v>
      </c>
      <c r="L69">
        <v>60</v>
      </c>
      <c r="M69">
        <v>74</v>
      </c>
      <c r="N69">
        <v>206</v>
      </c>
      <c r="O69">
        <v>68.666666669999998</v>
      </c>
      <c r="P69">
        <v>66</v>
      </c>
      <c r="Q69">
        <v>1</v>
      </c>
      <c r="R69">
        <v>8.2899999999999991</v>
      </c>
      <c r="S69" t="s">
        <v>30</v>
      </c>
      <c r="T69" t="s">
        <v>31</v>
      </c>
      <c r="U69">
        <v>12</v>
      </c>
    </row>
    <row r="70" spans="1:21" x14ac:dyDescent="0.25">
      <c r="A70" t="s">
        <v>34</v>
      </c>
      <c r="B70" t="s">
        <v>21</v>
      </c>
      <c r="C70" t="s">
        <v>36</v>
      </c>
      <c r="D70" t="s">
        <v>37</v>
      </c>
      <c r="E70" t="s">
        <v>24</v>
      </c>
      <c r="F70">
        <v>61</v>
      </c>
      <c r="G70">
        <v>58</v>
      </c>
      <c r="H70">
        <v>56</v>
      </c>
      <c r="J70">
        <v>61</v>
      </c>
      <c r="K70">
        <v>7.8102496759999998</v>
      </c>
      <c r="L70">
        <v>56</v>
      </c>
      <c r="M70">
        <v>61</v>
      </c>
      <c r="N70">
        <v>175</v>
      </c>
      <c r="O70">
        <v>58.333333330000002</v>
      </c>
      <c r="P70">
        <v>59.5</v>
      </c>
      <c r="Q70">
        <v>4</v>
      </c>
      <c r="R70">
        <v>7.64</v>
      </c>
      <c r="S70" t="s">
        <v>38</v>
      </c>
      <c r="T70" t="s">
        <v>26</v>
      </c>
      <c r="U70">
        <v>18</v>
      </c>
    </row>
    <row r="71" spans="1:21" x14ac:dyDescent="0.25">
      <c r="A71" t="s">
        <v>20</v>
      </c>
      <c r="B71" t="s">
        <v>27</v>
      </c>
      <c r="C71" t="s">
        <v>36</v>
      </c>
      <c r="D71" t="s">
        <v>23</v>
      </c>
      <c r="E71" t="s">
        <v>24</v>
      </c>
      <c r="F71">
        <v>39</v>
      </c>
      <c r="G71">
        <v>64</v>
      </c>
      <c r="H71">
        <v>57</v>
      </c>
      <c r="J71">
        <v>39</v>
      </c>
      <c r="K71">
        <v>6.2449979979999997</v>
      </c>
      <c r="L71">
        <v>39</v>
      </c>
      <c r="M71">
        <v>64</v>
      </c>
      <c r="N71">
        <v>160</v>
      </c>
      <c r="O71">
        <v>53.333333330000002</v>
      </c>
      <c r="P71">
        <v>48</v>
      </c>
      <c r="Q71">
        <v>2</v>
      </c>
      <c r="R71">
        <v>7.3</v>
      </c>
      <c r="S71" t="s">
        <v>38</v>
      </c>
      <c r="T71" t="s">
        <v>26</v>
      </c>
      <c r="U71">
        <v>18</v>
      </c>
    </row>
    <row r="72" spans="1:21" x14ac:dyDescent="0.25">
      <c r="A72" t="s">
        <v>20</v>
      </c>
      <c r="B72" t="s">
        <v>39</v>
      </c>
      <c r="C72" t="s">
        <v>28</v>
      </c>
      <c r="D72" t="s">
        <v>37</v>
      </c>
      <c r="E72" t="s">
        <v>29</v>
      </c>
      <c r="F72">
        <v>58</v>
      </c>
      <c r="G72">
        <v>63</v>
      </c>
      <c r="H72">
        <v>73</v>
      </c>
      <c r="J72">
        <v>58</v>
      </c>
      <c r="K72">
        <v>7.6157731059999998</v>
      </c>
      <c r="L72">
        <v>58</v>
      </c>
      <c r="M72">
        <v>73</v>
      </c>
      <c r="N72">
        <v>194</v>
      </c>
      <c r="O72">
        <v>64.666666669999998</v>
      </c>
      <c r="P72">
        <v>60.5</v>
      </c>
      <c r="Q72">
        <v>1</v>
      </c>
      <c r="R72">
        <v>8.0399999999999991</v>
      </c>
      <c r="S72" t="s">
        <v>30</v>
      </c>
      <c r="T72" t="s">
        <v>31</v>
      </c>
      <c r="U72">
        <v>12</v>
      </c>
    </row>
    <row r="73" spans="1:21" x14ac:dyDescent="0.25">
      <c r="A73" t="s">
        <v>34</v>
      </c>
      <c r="B73" t="s">
        <v>39</v>
      </c>
      <c r="C73" t="s">
        <v>28</v>
      </c>
      <c r="D73" t="s">
        <v>23</v>
      </c>
      <c r="E73" t="s">
        <v>29</v>
      </c>
      <c r="F73">
        <v>63</v>
      </c>
      <c r="G73">
        <v>55</v>
      </c>
      <c r="H73">
        <v>63</v>
      </c>
      <c r="J73">
        <v>63</v>
      </c>
      <c r="K73">
        <v>7.937253933</v>
      </c>
      <c r="L73">
        <v>55</v>
      </c>
      <c r="M73">
        <v>63</v>
      </c>
      <c r="N73">
        <v>181</v>
      </c>
      <c r="O73">
        <v>60.333333330000002</v>
      </c>
      <c r="P73">
        <v>63</v>
      </c>
      <c r="Q73">
        <v>1</v>
      </c>
      <c r="R73">
        <v>7.77</v>
      </c>
      <c r="S73" t="s">
        <v>30</v>
      </c>
      <c r="T73" t="s">
        <v>31</v>
      </c>
      <c r="U73">
        <v>12</v>
      </c>
    </row>
    <row r="74" spans="1:21" x14ac:dyDescent="0.25">
      <c r="A74" t="s">
        <v>20</v>
      </c>
      <c r="B74" t="s">
        <v>35</v>
      </c>
      <c r="C74" t="s">
        <v>36</v>
      </c>
      <c r="D74" t="s">
        <v>37</v>
      </c>
      <c r="E74" t="s">
        <v>24</v>
      </c>
      <c r="F74">
        <v>41</v>
      </c>
      <c r="G74">
        <v>51</v>
      </c>
      <c r="H74">
        <v>48</v>
      </c>
      <c r="J74">
        <v>41</v>
      </c>
      <c r="K74">
        <v>6.4031242370000001</v>
      </c>
      <c r="L74">
        <v>41</v>
      </c>
      <c r="M74">
        <v>51</v>
      </c>
      <c r="N74">
        <v>140</v>
      </c>
      <c r="O74">
        <v>46.666666669999998</v>
      </c>
      <c r="P74">
        <v>44.5</v>
      </c>
      <c r="Q74">
        <v>2</v>
      </c>
      <c r="R74">
        <v>6.83</v>
      </c>
      <c r="S74" t="s">
        <v>38</v>
      </c>
      <c r="T74" t="s">
        <v>26</v>
      </c>
      <c r="U74">
        <v>18</v>
      </c>
    </row>
    <row r="75" spans="1:21" x14ac:dyDescent="0.25">
      <c r="A75" t="s">
        <v>34</v>
      </c>
      <c r="B75" t="s">
        <v>27</v>
      </c>
      <c r="C75" t="s">
        <v>50</v>
      </c>
      <c r="D75" t="s">
        <v>37</v>
      </c>
      <c r="E75" t="s">
        <v>24</v>
      </c>
      <c r="F75">
        <v>61</v>
      </c>
      <c r="G75">
        <v>57</v>
      </c>
      <c r="H75">
        <v>56</v>
      </c>
      <c r="J75">
        <v>61</v>
      </c>
      <c r="K75">
        <v>7.8102496759999998</v>
      </c>
      <c r="L75">
        <v>56</v>
      </c>
      <c r="M75">
        <v>61</v>
      </c>
      <c r="N75">
        <v>174</v>
      </c>
      <c r="O75">
        <v>58</v>
      </c>
      <c r="P75">
        <v>59</v>
      </c>
      <c r="Q75">
        <v>4</v>
      </c>
      <c r="R75">
        <v>7.62</v>
      </c>
      <c r="S75" t="s">
        <v>30</v>
      </c>
      <c r="T75" t="s">
        <v>42</v>
      </c>
      <c r="U75">
        <v>16</v>
      </c>
    </row>
    <row r="76" spans="1:21" x14ac:dyDescent="0.25">
      <c r="A76" t="s">
        <v>34</v>
      </c>
      <c r="B76" t="s">
        <v>27</v>
      </c>
      <c r="C76" t="s">
        <v>50</v>
      </c>
      <c r="D76" t="s">
        <v>23</v>
      </c>
      <c r="E76" t="s">
        <v>24</v>
      </c>
      <c r="F76">
        <v>49</v>
      </c>
      <c r="G76">
        <v>49</v>
      </c>
      <c r="H76">
        <v>41</v>
      </c>
      <c r="J76">
        <v>49</v>
      </c>
      <c r="K76">
        <v>7</v>
      </c>
      <c r="L76">
        <v>41</v>
      </c>
      <c r="M76">
        <v>49</v>
      </c>
      <c r="N76">
        <v>139</v>
      </c>
      <c r="O76">
        <v>46.333333330000002</v>
      </c>
      <c r="P76">
        <v>49</v>
      </c>
      <c r="Q76">
        <v>4</v>
      </c>
      <c r="R76">
        <v>6.81</v>
      </c>
      <c r="S76" t="s">
        <v>30</v>
      </c>
      <c r="T76" t="s">
        <v>42</v>
      </c>
      <c r="U76">
        <v>16</v>
      </c>
    </row>
    <row r="77" spans="1:21" x14ac:dyDescent="0.25">
      <c r="A77" t="s">
        <v>34</v>
      </c>
      <c r="B77" t="s">
        <v>21</v>
      </c>
      <c r="C77" t="s">
        <v>36</v>
      </c>
      <c r="D77" t="s">
        <v>37</v>
      </c>
      <c r="E77" t="s">
        <v>24</v>
      </c>
      <c r="F77">
        <v>44</v>
      </c>
      <c r="G77">
        <v>41</v>
      </c>
      <c r="H77">
        <v>38</v>
      </c>
      <c r="J77">
        <v>44</v>
      </c>
      <c r="K77">
        <v>6.6332495810000003</v>
      </c>
      <c r="L77">
        <v>38</v>
      </c>
      <c r="M77">
        <v>44</v>
      </c>
      <c r="N77">
        <v>123</v>
      </c>
      <c r="O77">
        <v>41</v>
      </c>
      <c r="P77">
        <v>42.5</v>
      </c>
      <c r="Q77">
        <v>4</v>
      </c>
      <c r="R77">
        <v>6.4</v>
      </c>
      <c r="S77" t="s">
        <v>38</v>
      </c>
      <c r="T77" t="s">
        <v>26</v>
      </c>
      <c r="U77">
        <v>18</v>
      </c>
    </row>
    <row r="78" spans="1:21" x14ac:dyDescent="0.25">
      <c r="A78" t="s">
        <v>34</v>
      </c>
      <c r="B78" t="s">
        <v>64</v>
      </c>
      <c r="C78" t="s">
        <v>50</v>
      </c>
      <c r="D78" t="s">
        <v>23</v>
      </c>
      <c r="E78" t="s">
        <v>24</v>
      </c>
      <c r="F78">
        <v>30</v>
      </c>
      <c r="G78">
        <v>26</v>
      </c>
      <c r="H78">
        <v>22</v>
      </c>
      <c r="J78">
        <v>30</v>
      </c>
      <c r="K78">
        <v>5.4772255750000003</v>
      </c>
      <c r="L78">
        <v>22</v>
      </c>
      <c r="M78">
        <v>30</v>
      </c>
      <c r="N78">
        <v>78</v>
      </c>
      <c r="O78">
        <v>26</v>
      </c>
      <c r="P78">
        <v>28</v>
      </c>
      <c r="Q78">
        <v>4</v>
      </c>
      <c r="R78">
        <v>5.0999999999999996</v>
      </c>
      <c r="S78" t="s">
        <v>30</v>
      </c>
      <c r="T78" t="s">
        <v>42</v>
      </c>
      <c r="U78">
        <v>16</v>
      </c>
    </row>
    <row r="79" spans="1:21" x14ac:dyDescent="0.25">
      <c r="A79" t="s">
        <v>34</v>
      </c>
      <c r="B79" t="s">
        <v>35</v>
      </c>
      <c r="C79" t="s">
        <v>22</v>
      </c>
      <c r="D79" t="s">
        <v>23</v>
      </c>
      <c r="E79" t="s">
        <v>29</v>
      </c>
      <c r="F79">
        <v>80</v>
      </c>
      <c r="G79">
        <v>78</v>
      </c>
      <c r="H79">
        <v>81</v>
      </c>
      <c r="J79">
        <v>80</v>
      </c>
      <c r="K79">
        <v>8.9442719099999994</v>
      </c>
      <c r="L79">
        <v>78</v>
      </c>
      <c r="M79">
        <v>81</v>
      </c>
      <c r="N79">
        <v>239</v>
      </c>
      <c r="O79">
        <v>79.666666669999998</v>
      </c>
      <c r="P79">
        <v>80</v>
      </c>
      <c r="Q79">
        <v>1</v>
      </c>
      <c r="R79">
        <v>8.93</v>
      </c>
      <c r="S79" t="s">
        <v>25</v>
      </c>
      <c r="T79" t="s">
        <v>26</v>
      </c>
      <c r="U79">
        <v>17</v>
      </c>
    </row>
    <row r="80" spans="1:21" x14ac:dyDescent="0.25">
      <c r="A80" t="s">
        <v>20</v>
      </c>
      <c r="B80" t="s">
        <v>39</v>
      </c>
      <c r="C80" t="s">
        <v>50</v>
      </c>
      <c r="D80" t="s">
        <v>23</v>
      </c>
      <c r="E80" t="s">
        <v>29</v>
      </c>
      <c r="F80">
        <v>61</v>
      </c>
      <c r="G80">
        <v>74</v>
      </c>
      <c r="H80">
        <v>72</v>
      </c>
      <c r="J80">
        <v>61</v>
      </c>
      <c r="K80">
        <v>7.8102496759999998</v>
      </c>
      <c r="L80">
        <v>61</v>
      </c>
      <c r="M80">
        <v>74</v>
      </c>
      <c r="N80">
        <v>207</v>
      </c>
      <c r="O80">
        <v>69</v>
      </c>
      <c r="P80">
        <v>66.5</v>
      </c>
      <c r="Q80">
        <v>2</v>
      </c>
      <c r="R80">
        <v>8.31</v>
      </c>
      <c r="S80" t="s">
        <v>30</v>
      </c>
      <c r="T80" t="s">
        <v>42</v>
      </c>
      <c r="U80">
        <v>16</v>
      </c>
    </row>
    <row r="81" spans="1:21" x14ac:dyDescent="0.25">
      <c r="A81" t="s">
        <v>20</v>
      </c>
      <c r="B81" t="s">
        <v>64</v>
      </c>
      <c r="C81" t="s">
        <v>32</v>
      </c>
      <c r="D81" t="s">
        <v>23</v>
      </c>
      <c r="E81" t="s">
        <v>24</v>
      </c>
      <c r="F81">
        <v>62</v>
      </c>
      <c r="G81">
        <v>68</v>
      </c>
      <c r="H81">
        <v>68</v>
      </c>
      <c r="J81">
        <v>62</v>
      </c>
      <c r="K81">
        <v>7.8740078740000001</v>
      </c>
      <c r="L81">
        <v>62</v>
      </c>
      <c r="M81">
        <v>68</v>
      </c>
      <c r="N81">
        <v>198</v>
      </c>
      <c r="O81">
        <v>66</v>
      </c>
      <c r="P81">
        <v>65</v>
      </c>
      <c r="Q81">
        <v>1</v>
      </c>
      <c r="R81">
        <v>8.1199999999999992</v>
      </c>
      <c r="S81" t="s">
        <v>33</v>
      </c>
      <c r="T81" t="s">
        <v>26</v>
      </c>
      <c r="U81">
        <v>15</v>
      </c>
    </row>
    <row r="82" spans="1:21" x14ac:dyDescent="0.25">
      <c r="A82" t="s">
        <v>20</v>
      </c>
      <c r="B82" t="s">
        <v>21</v>
      </c>
      <c r="C82" t="s">
        <v>36</v>
      </c>
      <c r="D82" t="s">
        <v>23</v>
      </c>
      <c r="E82" t="s">
        <v>24</v>
      </c>
      <c r="F82">
        <v>47</v>
      </c>
      <c r="G82">
        <v>49</v>
      </c>
      <c r="H82">
        <v>50</v>
      </c>
      <c r="J82">
        <v>47</v>
      </c>
      <c r="K82">
        <v>6.8556546000000003</v>
      </c>
      <c r="L82">
        <v>47</v>
      </c>
      <c r="M82">
        <v>50</v>
      </c>
      <c r="N82">
        <v>146</v>
      </c>
      <c r="O82">
        <v>48.666666669999998</v>
      </c>
      <c r="P82">
        <v>48</v>
      </c>
      <c r="Q82">
        <v>1</v>
      </c>
      <c r="R82">
        <v>6.98</v>
      </c>
      <c r="S82" t="s">
        <v>38</v>
      </c>
      <c r="T82" t="s">
        <v>26</v>
      </c>
      <c r="U82">
        <v>18</v>
      </c>
    </row>
    <row r="83" spans="1:21" x14ac:dyDescent="0.25">
      <c r="A83" t="s">
        <v>34</v>
      </c>
      <c r="B83" t="s">
        <v>21</v>
      </c>
      <c r="C83" t="s">
        <v>40</v>
      </c>
      <c r="D83" t="s">
        <v>37</v>
      </c>
      <c r="E83" t="s">
        <v>24</v>
      </c>
      <c r="F83">
        <v>49</v>
      </c>
      <c r="G83">
        <v>45</v>
      </c>
      <c r="H83">
        <v>45</v>
      </c>
      <c r="J83">
        <v>49</v>
      </c>
      <c r="K83">
        <v>7</v>
      </c>
      <c r="L83">
        <v>45</v>
      </c>
      <c r="M83">
        <v>49</v>
      </c>
      <c r="N83">
        <v>139</v>
      </c>
      <c r="O83">
        <v>46.333333330000002</v>
      </c>
      <c r="P83">
        <v>47</v>
      </c>
      <c r="Q83">
        <v>3</v>
      </c>
      <c r="R83">
        <v>6.81</v>
      </c>
      <c r="S83" t="s">
        <v>41</v>
      </c>
      <c r="T83" t="s">
        <v>42</v>
      </c>
      <c r="U83">
        <v>11</v>
      </c>
    </row>
    <row r="84" spans="1:21" x14ac:dyDescent="0.25">
      <c r="A84" t="s">
        <v>34</v>
      </c>
      <c r="B84" t="s">
        <v>35</v>
      </c>
      <c r="C84" t="s">
        <v>28</v>
      </c>
      <c r="D84" t="s">
        <v>37</v>
      </c>
      <c r="E84" t="s">
        <v>29</v>
      </c>
      <c r="F84">
        <v>50</v>
      </c>
      <c r="G84">
        <v>47</v>
      </c>
      <c r="H84">
        <v>54</v>
      </c>
      <c r="J84">
        <v>50</v>
      </c>
      <c r="K84">
        <v>7.0710678119999999</v>
      </c>
      <c r="L84">
        <v>47</v>
      </c>
      <c r="M84">
        <v>54</v>
      </c>
      <c r="N84">
        <v>151</v>
      </c>
      <c r="O84">
        <v>50.333333330000002</v>
      </c>
      <c r="P84">
        <v>50</v>
      </c>
      <c r="Q84">
        <v>1</v>
      </c>
      <c r="R84">
        <v>7.09</v>
      </c>
      <c r="S84" t="s">
        <v>30</v>
      </c>
      <c r="T84" t="s">
        <v>31</v>
      </c>
      <c r="U84">
        <v>12</v>
      </c>
    </row>
    <row r="85" spans="1:21" x14ac:dyDescent="0.25">
      <c r="A85" t="s">
        <v>34</v>
      </c>
      <c r="B85" t="s">
        <v>64</v>
      </c>
      <c r="C85" t="s">
        <v>36</v>
      </c>
      <c r="D85" t="s">
        <v>23</v>
      </c>
      <c r="E85" t="s">
        <v>24</v>
      </c>
      <c r="F85">
        <v>72</v>
      </c>
      <c r="G85">
        <v>64</v>
      </c>
      <c r="H85">
        <v>63</v>
      </c>
      <c r="J85">
        <v>72</v>
      </c>
      <c r="K85">
        <v>8.4852813739999995</v>
      </c>
      <c r="L85">
        <v>63</v>
      </c>
      <c r="M85">
        <v>72</v>
      </c>
      <c r="N85">
        <v>199</v>
      </c>
      <c r="O85">
        <v>66.333333330000002</v>
      </c>
      <c r="P85">
        <v>68</v>
      </c>
      <c r="Q85">
        <v>4</v>
      </c>
      <c r="R85">
        <v>8.14</v>
      </c>
      <c r="S85" t="s">
        <v>38</v>
      </c>
      <c r="T85" t="s">
        <v>26</v>
      </c>
      <c r="U85">
        <v>18</v>
      </c>
    </row>
    <row r="86" spans="1:21" x14ac:dyDescent="0.25">
      <c r="A86" t="s">
        <v>34</v>
      </c>
      <c r="B86" t="s">
        <v>39</v>
      </c>
      <c r="C86" t="s">
        <v>40</v>
      </c>
      <c r="D86" t="s">
        <v>37</v>
      </c>
      <c r="E86" t="s">
        <v>24</v>
      </c>
      <c r="F86">
        <v>42</v>
      </c>
      <c r="G86">
        <v>39</v>
      </c>
      <c r="H86">
        <v>34</v>
      </c>
      <c r="J86">
        <v>42</v>
      </c>
      <c r="K86">
        <v>6.480740698</v>
      </c>
      <c r="L86">
        <v>34</v>
      </c>
      <c r="M86">
        <v>42</v>
      </c>
      <c r="N86">
        <v>115</v>
      </c>
      <c r="O86">
        <v>38.333333330000002</v>
      </c>
      <c r="P86">
        <v>40.5</v>
      </c>
      <c r="Q86">
        <v>4</v>
      </c>
      <c r="R86">
        <v>6.19</v>
      </c>
      <c r="S86" t="s">
        <v>41</v>
      </c>
      <c r="T86" t="s">
        <v>42</v>
      </c>
      <c r="U86">
        <v>11</v>
      </c>
    </row>
    <row r="87" spans="1:21" x14ac:dyDescent="0.25">
      <c r="A87" t="s">
        <v>20</v>
      </c>
      <c r="B87" t="s">
        <v>27</v>
      </c>
      <c r="C87" t="s">
        <v>28</v>
      </c>
      <c r="D87" t="s">
        <v>23</v>
      </c>
      <c r="E87" t="s">
        <v>24</v>
      </c>
      <c r="F87">
        <v>73</v>
      </c>
      <c r="G87">
        <v>80</v>
      </c>
      <c r="H87">
        <v>82</v>
      </c>
      <c r="J87">
        <v>73</v>
      </c>
      <c r="K87">
        <v>8.5440037449999995</v>
      </c>
      <c r="L87">
        <v>73</v>
      </c>
      <c r="M87">
        <v>82</v>
      </c>
      <c r="N87">
        <v>235</v>
      </c>
      <c r="O87">
        <v>78.333333330000002</v>
      </c>
      <c r="P87">
        <v>76.5</v>
      </c>
      <c r="Q87">
        <v>1</v>
      </c>
      <c r="R87">
        <v>8.85</v>
      </c>
      <c r="S87" t="s">
        <v>30</v>
      </c>
      <c r="T87" t="s">
        <v>31</v>
      </c>
      <c r="U87">
        <v>12</v>
      </c>
    </row>
    <row r="88" spans="1:21" x14ac:dyDescent="0.25">
      <c r="A88" t="s">
        <v>20</v>
      </c>
      <c r="B88" t="s">
        <v>27</v>
      </c>
      <c r="C88" t="s">
        <v>28</v>
      </c>
      <c r="D88" t="s">
        <v>37</v>
      </c>
      <c r="E88" t="s">
        <v>24</v>
      </c>
      <c r="F88">
        <v>76</v>
      </c>
      <c r="G88">
        <v>83</v>
      </c>
      <c r="H88">
        <v>88</v>
      </c>
      <c r="J88">
        <v>76</v>
      </c>
      <c r="K88">
        <v>8.7177978869999997</v>
      </c>
      <c r="L88">
        <v>76</v>
      </c>
      <c r="M88">
        <v>88</v>
      </c>
      <c r="N88">
        <v>247</v>
      </c>
      <c r="O88">
        <v>82.333333330000002</v>
      </c>
      <c r="P88">
        <v>79.5</v>
      </c>
      <c r="Q88">
        <v>1</v>
      </c>
      <c r="R88">
        <v>9.07</v>
      </c>
      <c r="S88" t="s">
        <v>30</v>
      </c>
      <c r="T88" t="s">
        <v>31</v>
      </c>
      <c r="U88">
        <v>12</v>
      </c>
    </row>
    <row r="89" spans="1:21" x14ac:dyDescent="0.25">
      <c r="A89" t="s">
        <v>20</v>
      </c>
      <c r="B89" t="s">
        <v>39</v>
      </c>
      <c r="C89" t="s">
        <v>36</v>
      </c>
      <c r="D89" t="s">
        <v>23</v>
      </c>
      <c r="E89" t="s">
        <v>24</v>
      </c>
      <c r="F89">
        <v>71</v>
      </c>
      <c r="G89">
        <v>71</v>
      </c>
      <c r="H89">
        <v>74</v>
      </c>
      <c r="J89">
        <v>71</v>
      </c>
      <c r="K89">
        <v>8.4261497730000006</v>
      </c>
      <c r="L89">
        <v>71</v>
      </c>
      <c r="M89">
        <v>74</v>
      </c>
      <c r="N89">
        <v>216</v>
      </c>
      <c r="O89">
        <v>72</v>
      </c>
      <c r="P89">
        <v>71</v>
      </c>
      <c r="Q89">
        <v>1</v>
      </c>
      <c r="R89">
        <v>8.49</v>
      </c>
      <c r="S89" t="s">
        <v>38</v>
      </c>
      <c r="T89" t="s">
        <v>26</v>
      </c>
      <c r="U89">
        <v>18</v>
      </c>
    </row>
    <row r="90" spans="1:21" x14ac:dyDescent="0.25">
      <c r="A90" t="s">
        <v>20</v>
      </c>
      <c r="B90" t="s">
        <v>35</v>
      </c>
      <c r="C90" t="s">
        <v>28</v>
      </c>
      <c r="D90" t="s">
        <v>23</v>
      </c>
      <c r="E90" t="s">
        <v>24</v>
      </c>
      <c r="F90">
        <v>58</v>
      </c>
      <c r="G90">
        <v>70</v>
      </c>
      <c r="H90">
        <v>67</v>
      </c>
      <c r="J90">
        <v>58</v>
      </c>
      <c r="K90">
        <v>7.6157731059999998</v>
      </c>
      <c r="L90">
        <v>58</v>
      </c>
      <c r="M90">
        <v>70</v>
      </c>
      <c r="N90">
        <v>195</v>
      </c>
      <c r="O90">
        <v>65</v>
      </c>
      <c r="P90">
        <v>62.5</v>
      </c>
      <c r="Q90">
        <v>2</v>
      </c>
      <c r="R90">
        <v>8.06</v>
      </c>
      <c r="S90" t="s">
        <v>30</v>
      </c>
      <c r="T90" t="s">
        <v>31</v>
      </c>
      <c r="U90">
        <v>12</v>
      </c>
    </row>
    <row r="91" spans="1:21" x14ac:dyDescent="0.25">
      <c r="A91" t="s">
        <v>20</v>
      </c>
      <c r="B91" t="s">
        <v>39</v>
      </c>
      <c r="C91" t="s">
        <v>50</v>
      </c>
      <c r="D91" t="s">
        <v>23</v>
      </c>
      <c r="E91" t="s">
        <v>24</v>
      </c>
      <c r="F91">
        <v>73</v>
      </c>
      <c r="G91">
        <v>86</v>
      </c>
      <c r="H91">
        <v>82</v>
      </c>
      <c r="J91">
        <v>73</v>
      </c>
      <c r="K91">
        <v>8.5440037449999995</v>
      </c>
      <c r="L91">
        <v>73</v>
      </c>
      <c r="M91">
        <v>86</v>
      </c>
      <c r="N91">
        <v>241</v>
      </c>
      <c r="O91">
        <v>80.333333330000002</v>
      </c>
      <c r="P91">
        <v>77.5</v>
      </c>
      <c r="Q91">
        <v>2</v>
      </c>
      <c r="R91">
        <v>8.9600000000000009</v>
      </c>
      <c r="S91" t="s">
        <v>30</v>
      </c>
      <c r="T91" t="s">
        <v>42</v>
      </c>
      <c r="U91">
        <v>16</v>
      </c>
    </row>
    <row r="92" spans="1:21" x14ac:dyDescent="0.25">
      <c r="A92" t="s">
        <v>20</v>
      </c>
      <c r="B92" t="s">
        <v>27</v>
      </c>
      <c r="C92" t="s">
        <v>22</v>
      </c>
      <c r="D92" t="s">
        <v>23</v>
      </c>
      <c r="E92" t="s">
        <v>24</v>
      </c>
      <c r="F92">
        <v>65</v>
      </c>
      <c r="G92">
        <v>72</v>
      </c>
      <c r="H92">
        <v>74</v>
      </c>
      <c r="J92">
        <v>65</v>
      </c>
      <c r="K92">
        <v>8.0622577480000004</v>
      </c>
      <c r="L92">
        <v>65</v>
      </c>
      <c r="M92">
        <v>74</v>
      </c>
      <c r="N92">
        <v>211</v>
      </c>
      <c r="O92">
        <v>70.333333330000002</v>
      </c>
      <c r="P92">
        <v>68.5</v>
      </c>
      <c r="Q92">
        <v>1</v>
      </c>
      <c r="R92">
        <v>8.39</v>
      </c>
      <c r="S92" t="s">
        <v>25</v>
      </c>
      <c r="T92" t="s">
        <v>26</v>
      </c>
      <c r="U92">
        <v>17</v>
      </c>
    </row>
    <row r="93" spans="1:21" x14ac:dyDescent="0.25">
      <c r="A93" t="s">
        <v>34</v>
      </c>
      <c r="B93" t="s">
        <v>27</v>
      </c>
      <c r="C93" t="s">
        <v>40</v>
      </c>
      <c r="D93" t="s">
        <v>37</v>
      </c>
      <c r="E93" t="s">
        <v>24</v>
      </c>
      <c r="F93">
        <v>27</v>
      </c>
      <c r="G93">
        <v>34</v>
      </c>
      <c r="H93">
        <v>36</v>
      </c>
      <c r="J93">
        <v>27</v>
      </c>
      <c r="K93">
        <v>5.196152423</v>
      </c>
      <c r="L93">
        <v>27</v>
      </c>
      <c r="M93">
        <v>36</v>
      </c>
      <c r="N93">
        <v>97</v>
      </c>
      <c r="O93">
        <v>32.333333330000002</v>
      </c>
      <c r="P93">
        <v>30.5</v>
      </c>
      <c r="Q93">
        <v>1</v>
      </c>
      <c r="R93">
        <v>5.69</v>
      </c>
      <c r="S93" t="s">
        <v>41</v>
      </c>
      <c r="T93" t="s">
        <v>42</v>
      </c>
      <c r="U93">
        <v>11</v>
      </c>
    </row>
    <row r="94" spans="1:21" x14ac:dyDescent="0.25">
      <c r="A94" t="s">
        <v>34</v>
      </c>
      <c r="B94" t="s">
        <v>27</v>
      </c>
      <c r="C94" t="s">
        <v>40</v>
      </c>
      <c r="D94" t="s">
        <v>23</v>
      </c>
      <c r="E94" t="s">
        <v>24</v>
      </c>
      <c r="F94">
        <v>71</v>
      </c>
      <c r="G94">
        <v>79</v>
      </c>
      <c r="H94">
        <v>71</v>
      </c>
      <c r="J94">
        <v>71</v>
      </c>
      <c r="K94">
        <v>8.4261497730000006</v>
      </c>
      <c r="L94">
        <v>71</v>
      </c>
      <c r="M94">
        <v>79</v>
      </c>
      <c r="N94">
        <v>221</v>
      </c>
      <c r="O94">
        <v>73.666666669999998</v>
      </c>
      <c r="P94">
        <v>71</v>
      </c>
      <c r="Q94">
        <v>2</v>
      </c>
      <c r="R94">
        <v>8.58</v>
      </c>
      <c r="S94" t="s">
        <v>41</v>
      </c>
      <c r="T94" t="s">
        <v>42</v>
      </c>
      <c r="U94">
        <v>11</v>
      </c>
    </row>
    <row r="95" spans="1:21" x14ac:dyDescent="0.25">
      <c r="A95" t="s">
        <v>34</v>
      </c>
      <c r="B95" t="s">
        <v>27</v>
      </c>
      <c r="C95" t="s">
        <v>36</v>
      </c>
      <c r="D95" t="s">
        <v>37</v>
      </c>
      <c r="E95" t="s">
        <v>29</v>
      </c>
      <c r="F95">
        <v>43</v>
      </c>
      <c r="G95">
        <v>45</v>
      </c>
      <c r="H95">
        <v>50</v>
      </c>
      <c r="J95">
        <v>43</v>
      </c>
      <c r="K95">
        <v>6.5574385240000002</v>
      </c>
      <c r="L95">
        <v>43</v>
      </c>
      <c r="M95">
        <v>50</v>
      </c>
      <c r="N95">
        <v>138</v>
      </c>
      <c r="O95">
        <v>46</v>
      </c>
      <c r="P95">
        <v>44</v>
      </c>
      <c r="Q95">
        <v>1</v>
      </c>
      <c r="R95">
        <v>6.78</v>
      </c>
      <c r="S95" t="s">
        <v>38</v>
      </c>
      <c r="T95" t="s">
        <v>26</v>
      </c>
      <c r="U95">
        <v>18</v>
      </c>
    </row>
    <row r="96" spans="1:21" x14ac:dyDescent="0.25">
      <c r="A96" t="s">
        <v>20</v>
      </c>
      <c r="B96" t="s">
        <v>21</v>
      </c>
      <c r="C96" t="s">
        <v>28</v>
      </c>
      <c r="D96" t="s">
        <v>23</v>
      </c>
      <c r="E96" t="s">
        <v>24</v>
      </c>
      <c r="F96">
        <v>79</v>
      </c>
      <c r="G96">
        <v>86</v>
      </c>
      <c r="H96">
        <v>92</v>
      </c>
      <c r="J96">
        <v>79</v>
      </c>
      <c r="K96">
        <v>8.8881944169999993</v>
      </c>
      <c r="L96">
        <v>79</v>
      </c>
      <c r="M96">
        <v>92</v>
      </c>
      <c r="N96">
        <v>257</v>
      </c>
      <c r="O96">
        <v>85.666666669999998</v>
      </c>
      <c r="P96">
        <v>82.5</v>
      </c>
      <c r="Q96">
        <v>1</v>
      </c>
      <c r="R96">
        <v>9.26</v>
      </c>
      <c r="S96" t="s">
        <v>30</v>
      </c>
      <c r="T96" t="s">
        <v>31</v>
      </c>
      <c r="U96">
        <v>12</v>
      </c>
    </row>
    <row r="97" spans="1:21" x14ac:dyDescent="0.25">
      <c r="A97" t="s">
        <v>34</v>
      </c>
      <c r="B97" t="s">
        <v>27</v>
      </c>
      <c r="C97" t="s">
        <v>36</v>
      </c>
      <c r="D97" t="s">
        <v>37</v>
      </c>
      <c r="E97" t="s">
        <v>29</v>
      </c>
      <c r="F97">
        <v>78</v>
      </c>
      <c r="G97">
        <v>81</v>
      </c>
      <c r="H97">
        <v>82</v>
      </c>
      <c r="J97">
        <v>78</v>
      </c>
      <c r="K97">
        <v>8.8317608659999998</v>
      </c>
      <c r="L97">
        <v>78</v>
      </c>
      <c r="M97">
        <v>82</v>
      </c>
      <c r="N97">
        <v>241</v>
      </c>
      <c r="O97">
        <v>80.333333330000002</v>
      </c>
      <c r="P97">
        <v>79.5</v>
      </c>
      <c r="Q97">
        <v>1</v>
      </c>
      <c r="R97">
        <v>8.9600000000000009</v>
      </c>
      <c r="S97" t="s">
        <v>38</v>
      </c>
      <c r="T97" t="s">
        <v>26</v>
      </c>
      <c r="U97">
        <v>18</v>
      </c>
    </row>
    <row r="98" spans="1:21" x14ac:dyDescent="0.25">
      <c r="A98" t="s">
        <v>34</v>
      </c>
      <c r="B98" t="s">
        <v>21</v>
      </c>
      <c r="C98" t="s">
        <v>50</v>
      </c>
      <c r="D98" t="s">
        <v>23</v>
      </c>
      <c r="E98" t="s">
        <v>29</v>
      </c>
      <c r="F98">
        <v>65</v>
      </c>
      <c r="G98">
        <v>66</v>
      </c>
      <c r="H98">
        <v>62</v>
      </c>
      <c r="J98">
        <v>65</v>
      </c>
      <c r="K98">
        <v>8.0622577480000004</v>
      </c>
      <c r="L98">
        <v>62</v>
      </c>
      <c r="M98">
        <v>66</v>
      </c>
      <c r="N98">
        <v>193</v>
      </c>
      <c r="O98">
        <v>64.333333330000002</v>
      </c>
      <c r="P98">
        <v>65</v>
      </c>
      <c r="Q98">
        <v>4</v>
      </c>
      <c r="R98">
        <v>8.02</v>
      </c>
      <c r="S98" t="s">
        <v>30</v>
      </c>
      <c r="T98" t="s">
        <v>42</v>
      </c>
      <c r="U98">
        <v>16</v>
      </c>
    </row>
    <row r="99" spans="1:21" x14ac:dyDescent="0.25">
      <c r="A99" t="s">
        <v>20</v>
      </c>
      <c r="B99" t="s">
        <v>64</v>
      </c>
      <c r="C99" t="s">
        <v>28</v>
      </c>
      <c r="D99" t="s">
        <v>23</v>
      </c>
      <c r="E99" t="s">
        <v>29</v>
      </c>
      <c r="F99">
        <v>63</v>
      </c>
      <c r="G99">
        <v>72</v>
      </c>
      <c r="H99">
        <v>70</v>
      </c>
      <c r="J99">
        <v>63</v>
      </c>
      <c r="K99">
        <v>7.937253933</v>
      </c>
      <c r="L99">
        <v>63</v>
      </c>
      <c r="M99">
        <v>72</v>
      </c>
      <c r="N99">
        <v>205</v>
      </c>
      <c r="O99">
        <v>68.333333330000002</v>
      </c>
      <c r="P99">
        <v>66.5</v>
      </c>
      <c r="Q99">
        <v>2</v>
      </c>
      <c r="R99">
        <v>8.27</v>
      </c>
      <c r="S99" t="s">
        <v>30</v>
      </c>
      <c r="T99" t="s">
        <v>31</v>
      </c>
      <c r="U99">
        <v>12</v>
      </c>
    </row>
    <row r="100" spans="1:21" x14ac:dyDescent="0.25">
      <c r="A100" t="s">
        <v>20</v>
      </c>
      <c r="B100" t="s">
        <v>39</v>
      </c>
      <c r="C100" t="s">
        <v>28</v>
      </c>
      <c r="D100" t="s">
        <v>37</v>
      </c>
      <c r="E100" t="s">
        <v>24</v>
      </c>
      <c r="F100">
        <v>58</v>
      </c>
      <c r="G100">
        <v>67</v>
      </c>
      <c r="H100">
        <v>62</v>
      </c>
      <c r="J100">
        <v>58</v>
      </c>
      <c r="K100">
        <v>7.6157731059999998</v>
      </c>
      <c r="L100">
        <v>58</v>
      </c>
      <c r="M100">
        <v>67</v>
      </c>
      <c r="N100">
        <v>187</v>
      </c>
      <c r="O100">
        <v>62.333333330000002</v>
      </c>
      <c r="P100">
        <v>60</v>
      </c>
      <c r="Q100">
        <v>2</v>
      </c>
      <c r="R100">
        <v>7.9</v>
      </c>
      <c r="S100" t="s">
        <v>30</v>
      </c>
      <c r="T100" t="s">
        <v>31</v>
      </c>
      <c r="U100">
        <v>12</v>
      </c>
    </row>
    <row r="101" spans="1:21" x14ac:dyDescent="0.25">
      <c r="A101" t="s">
        <v>20</v>
      </c>
      <c r="B101" t="s">
        <v>39</v>
      </c>
      <c r="C101" t="s">
        <v>22</v>
      </c>
      <c r="D101" t="s">
        <v>23</v>
      </c>
      <c r="E101" t="s">
        <v>24</v>
      </c>
      <c r="F101">
        <v>65</v>
      </c>
      <c r="G101">
        <v>67</v>
      </c>
      <c r="H101">
        <v>62</v>
      </c>
      <c r="J101">
        <v>65</v>
      </c>
      <c r="K101">
        <v>8.0622577480000004</v>
      </c>
      <c r="L101">
        <v>62</v>
      </c>
      <c r="M101">
        <v>67</v>
      </c>
      <c r="N101">
        <v>194</v>
      </c>
      <c r="O101">
        <v>64.666666669999998</v>
      </c>
      <c r="P101">
        <v>65</v>
      </c>
      <c r="Q101">
        <v>4</v>
      </c>
      <c r="R101">
        <v>8.0399999999999991</v>
      </c>
      <c r="S101" t="s">
        <v>25</v>
      </c>
      <c r="T101" t="s">
        <v>26</v>
      </c>
      <c r="U101">
        <v>17</v>
      </c>
    </row>
    <row r="102" spans="1:21" x14ac:dyDescent="0.25">
      <c r="A102" t="s">
        <v>34</v>
      </c>
      <c r="B102" t="s">
        <v>21</v>
      </c>
      <c r="C102" t="s">
        <v>28</v>
      </c>
      <c r="D102" t="s">
        <v>23</v>
      </c>
      <c r="E102" t="s">
        <v>24</v>
      </c>
      <c r="F102">
        <v>79</v>
      </c>
      <c r="G102">
        <v>67</v>
      </c>
      <c r="H102">
        <v>67</v>
      </c>
      <c r="J102">
        <v>79</v>
      </c>
      <c r="K102">
        <v>8.8881944169999993</v>
      </c>
      <c r="L102">
        <v>67</v>
      </c>
      <c r="M102">
        <v>79</v>
      </c>
      <c r="N102">
        <v>213</v>
      </c>
      <c r="O102">
        <v>71</v>
      </c>
      <c r="P102">
        <v>73</v>
      </c>
      <c r="Q102">
        <v>3</v>
      </c>
      <c r="R102">
        <v>8.43</v>
      </c>
      <c r="S102" t="s">
        <v>30</v>
      </c>
      <c r="T102" t="s">
        <v>31</v>
      </c>
      <c r="U102">
        <v>12</v>
      </c>
    </row>
    <row r="103" spans="1:21" x14ac:dyDescent="0.25">
      <c r="A103" t="s">
        <v>34</v>
      </c>
      <c r="B103" t="s">
        <v>39</v>
      </c>
      <c r="C103" t="s">
        <v>22</v>
      </c>
      <c r="D103" t="s">
        <v>23</v>
      </c>
      <c r="E103" t="s">
        <v>29</v>
      </c>
      <c r="F103">
        <v>68</v>
      </c>
      <c r="G103">
        <v>74</v>
      </c>
      <c r="H103">
        <v>74</v>
      </c>
      <c r="J103">
        <v>68</v>
      </c>
      <c r="K103">
        <v>8.2462112510000001</v>
      </c>
      <c r="L103">
        <v>68</v>
      </c>
      <c r="M103">
        <v>74</v>
      </c>
      <c r="N103">
        <v>216</v>
      </c>
      <c r="O103">
        <v>72</v>
      </c>
      <c r="P103">
        <v>71</v>
      </c>
      <c r="Q103">
        <v>1</v>
      </c>
      <c r="R103">
        <v>8.49</v>
      </c>
      <c r="S103" t="s">
        <v>25</v>
      </c>
      <c r="T103" t="s">
        <v>26</v>
      </c>
      <c r="U103">
        <v>17</v>
      </c>
    </row>
    <row r="104" spans="1:21" x14ac:dyDescent="0.25">
      <c r="A104" t="s">
        <v>20</v>
      </c>
      <c r="B104" t="s">
        <v>39</v>
      </c>
      <c r="C104" t="s">
        <v>36</v>
      </c>
      <c r="D104" t="s">
        <v>23</v>
      </c>
      <c r="E104" t="s">
        <v>24</v>
      </c>
      <c r="F104">
        <v>85</v>
      </c>
      <c r="G104">
        <v>91</v>
      </c>
      <c r="H104">
        <v>89</v>
      </c>
      <c r="J104">
        <v>85</v>
      </c>
      <c r="K104">
        <v>9.2195444569999996</v>
      </c>
      <c r="L104">
        <v>85</v>
      </c>
      <c r="M104">
        <v>91</v>
      </c>
      <c r="N104">
        <v>265</v>
      </c>
      <c r="O104">
        <v>88.333333330000002</v>
      </c>
      <c r="P104">
        <v>87</v>
      </c>
      <c r="Q104">
        <v>2</v>
      </c>
      <c r="R104">
        <v>9.4</v>
      </c>
      <c r="S104" t="s">
        <v>38</v>
      </c>
      <c r="T104" t="s">
        <v>26</v>
      </c>
      <c r="U104">
        <v>18</v>
      </c>
    </row>
    <row r="105" spans="1:21" x14ac:dyDescent="0.25">
      <c r="A105" t="s">
        <v>34</v>
      </c>
      <c r="B105" t="s">
        <v>21</v>
      </c>
      <c r="C105" t="s">
        <v>40</v>
      </c>
      <c r="D105" t="s">
        <v>23</v>
      </c>
      <c r="E105" t="s">
        <v>29</v>
      </c>
      <c r="F105">
        <v>60</v>
      </c>
      <c r="G105">
        <v>44</v>
      </c>
      <c r="H105">
        <v>47</v>
      </c>
      <c r="J105">
        <v>60</v>
      </c>
      <c r="K105">
        <v>7.7459666919999997</v>
      </c>
      <c r="L105">
        <v>44</v>
      </c>
      <c r="M105">
        <v>60</v>
      </c>
      <c r="N105">
        <v>151</v>
      </c>
      <c r="O105">
        <v>50.333333330000002</v>
      </c>
      <c r="P105">
        <v>53.5</v>
      </c>
      <c r="Q105">
        <v>3</v>
      </c>
      <c r="R105">
        <v>7.09</v>
      </c>
      <c r="S105" t="s">
        <v>41</v>
      </c>
      <c r="T105" t="s">
        <v>42</v>
      </c>
      <c r="U105">
        <v>11</v>
      </c>
    </row>
    <row r="106" spans="1:21" x14ac:dyDescent="0.25">
      <c r="A106" t="s">
        <v>34</v>
      </c>
      <c r="B106" t="s">
        <v>27</v>
      </c>
      <c r="C106" t="s">
        <v>28</v>
      </c>
      <c r="D106" t="s">
        <v>23</v>
      </c>
      <c r="E106" t="s">
        <v>29</v>
      </c>
      <c r="F106">
        <v>98</v>
      </c>
      <c r="G106">
        <v>86</v>
      </c>
      <c r="H106">
        <v>90</v>
      </c>
      <c r="J106">
        <v>98</v>
      </c>
      <c r="K106">
        <v>9.899494937</v>
      </c>
      <c r="L106">
        <v>86</v>
      </c>
      <c r="M106">
        <v>98</v>
      </c>
      <c r="N106">
        <v>274</v>
      </c>
      <c r="O106">
        <v>91.333333330000002</v>
      </c>
      <c r="P106">
        <v>94</v>
      </c>
      <c r="Q106">
        <v>3</v>
      </c>
      <c r="R106">
        <v>9.56</v>
      </c>
      <c r="S106" t="s">
        <v>30</v>
      </c>
      <c r="T106" t="s">
        <v>31</v>
      </c>
      <c r="U106">
        <v>12</v>
      </c>
    </row>
    <row r="107" spans="1:21" x14ac:dyDescent="0.25">
      <c r="A107" t="s">
        <v>20</v>
      </c>
      <c r="B107" t="s">
        <v>27</v>
      </c>
      <c r="C107" t="s">
        <v>28</v>
      </c>
      <c r="D107" t="s">
        <v>23</v>
      </c>
      <c r="E107" t="s">
        <v>24</v>
      </c>
      <c r="F107">
        <v>58</v>
      </c>
      <c r="G107">
        <v>67</v>
      </c>
      <c r="H107">
        <v>72</v>
      </c>
      <c r="J107">
        <v>58</v>
      </c>
      <c r="K107">
        <v>7.6157731059999998</v>
      </c>
      <c r="L107">
        <v>58</v>
      </c>
      <c r="M107">
        <v>72</v>
      </c>
      <c r="N107">
        <v>197</v>
      </c>
      <c r="O107">
        <v>65.666666669999998</v>
      </c>
      <c r="P107">
        <v>62.5</v>
      </c>
      <c r="Q107">
        <v>1</v>
      </c>
      <c r="R107">
        <v>8.1</v>
      </c>
      <c r="S107" t="s">
        <v>30</v>
      </c>
      <c r="T107" t="s">
        <v>31</v>
      </c>
      <c r="U107">
        <v>12</v>
      </c>
    </row>
    <row r="108" spans="1:21" x14ac:dyDescent="0.25">
      <c r="A108" t="s">
        <v>20</v>
      </c>
      <c r="B108" t="s">
        <v>39</v>
      </c>
      <c r="C108" t="s">
        <v>32</v>
      </c>
      <c r="D108" t="s">
        <v>23</v>
      </c>
      <c r="E108" t="s">
        <v>24</v>
      </c>
      <c r="F108">
        <v>87</v>
      </c>
      <c r="G108">
        <v>100</v>
      </c>
      <c r="H108">
        <v>100</v>
      </c>
      <c r="J108">
        <v>87</v>
      </c>
      <c r="K108">
        <v>9.3273790529999996</v>
      </c>
      <c r="L108">
        <v>87</v>
      </c>
      <c r="M108">
        <v>100</v>
      </c>
      <c r="N108">
        <v>287</v>
      </c>
      <c r="O108">
        <v>95.666666669999998</v>
      </c>
      <c r="P108">
        <v>93.5</v>
      </c>
      <c r="Q108">
        <v>1</v>
      </c>
      <c r="R108">
        <v>9.7799999999999994</v>
      </c>
      <c r="S108" t="s">
        <v>33</v>
      </c>
      <c r="T108" t="s">
        <v>26</v>
      </c>
      <c r="U108">
        <v>15</v>
      </c>
    </row>
    <row r="109" spans="1:21" x14ac:dyDescent="0.25">
      <c r="A109" t="s">
        <v>34</v>
      </c>
      <c r="B109" t="s">
        <v>64</v>
      </c>
      <c r="C109" t="s">
        <v>36</v>
      </c>
      <c r="D109" t="s">
        <v>23</v>
      </c>
      <c r="E109" t="s">
        <v>29</v>
      </c>
      <c r="F109">
        <v>66</v>
      </c>
      <c r="G109">
        <v>63</v>
      </c>
      <c r="H109">
        <v>64</v>
      </c>
      <c r="J109">
        <v>66</v>
      </c>
      <c r="K109">
        <v>8.1240384050000003</v>
      </c>
      <c r="L109">
        <v>63</v>
      </c>
      <c r="M109">
        <v>66</v>
      </c>
      <c r="N109">
        <v>193</v>
      </c>
      <c r="O109">
        <v>64.333333330000002</v>
      </c>
      <c r="P109">
        <v>65</v>
      </c>
      <c r="Q109">
        <v>3</v>
      </c>
      <c r="R109">
        <v>8.02</v>
      </c>
      <c r="S109" t="s">
        <v>38</v>
      </c>
      <c r="T109" t="s">
        <v>26</v>
      </c>
      <c r="U109">
        <v>18</v>
      </c>
    </row>
    <row r="110" spans="1:21" x14ac:dyDescent="0.25">
      <c r="A110" t="s">
        <v>20</v>
      </c>
      <c r="B110" t="s">
        <v>21</v>
      </c>
      <c r="C110" t="s">
        <v>36</v>
      </c>
      <c r="D110" t="s">
        <v>37</v>
      </c>
      <c r="E110" t="s">
        <v>24</v>
      </c>
      <c r="F110">
        <v>52</v>
      </c>
      <c r="G110">
        <v>76</v>
      </c>
      <c r="H110">
        <v>70</v>
      </c>
      <c r="J110">
        <v>52</v>
      </c>
      <c r="K110">
        <v>7.2111025509999997</v>
      </c>
      <c r="L110">
        <v>52</v>
      </c>
      <c r="M110">
        <v>76</v>
      </c>
      <c r="N110">
        <v>198</v>
      </c>
      <c r="O110">
        <v>66</v>
      </c>
      <c r="P110">
        <v>61</v>
      </c>
      <c r="Q110">
        <v>2</v>
      </c>
      <c r="R110">
        <v>8.1199999999999992</v>
      </c>
      <c r="S110" t="s">
        <v>38</v>
      </c>
      <c r="T110" t="s">
        <v>26</v>
      </c>
      <c r="U110">
        <v>18</v>
      </c>
    </row>
    <row r="111" spans="1:21" x14ac:dyDescent="0.25">
      <c r="A111" t="s">
        <v>20</v>
      </c>
      <c r="B111" t="s">
        <v>21</v>
      </c>
      <c r="C111" t="s">
        <v>50</v>
      </c>
      <c r="D111" t="s">
        <v>23</v>
      </c>
      <c r="E111" t="s">
        <v>24</v>
      </c>
      <c r="F111">
        <v>70</v>
      </c>
      <c r="G111">
        <v>64</v>
      </c>
      <c r="H111">
        <v>72</v>
      </c>
      <c r="J111">
        <v>70</v>
      </c>
      <c r="K111">
        <v>8.3666002650000006</v>
      </c>
      <c r="L111">
        <v>64</v>
      </c>
      <c r="M111">
        <v>72</v>
      </c>
      <c r="N111">
        <v>206</v>
      </c>
      <c r="O111">
        <v>68.666666669999998</v>
      </c>
      <c r="P111">
        <v>70</v>
      </c>
      <c r="Q111">
        <v>1</v>
      </c>
      <c r="R111">
        <v>8.2899999999999991</v>
      </c>
      <c r="S111" t="s">
        <v>30</v>
      </c>
      <c r="T111" t="s">
        <v>42</v>
      </c>
      <c r="U111">
        <v>16</v>
      </c>
    </row>
    <row r="112" spans="1:21" x14ac:dyDescent="0.25">
      <c r="A112" t="s">
        <v>20</v>
      </c>
      <c r="B112" t="s">
        <v>39</v>
      </c>
      <c r="C112" t="s">
        <v>36</v>
      </c>
      <c r="D112" t="s">
        <v>37</v>
      </c>
      <c r="E112" t="s">
        <v>29</v>
      </c>
      <c r="F112">
        <v>77</v>
      </c>
      <c r="G112">
        <v>89</v>
      </c>
      <c r="H112">
        <v>98</v>
      </c>
      <c r="J112">
        <v>77</v>
      </c>
      <c r="K112">
        <v>8.7749643870000007</v>
      </c>
      <c r="L112">
        <v>77</v>
      </c>
      <c r="M112">
        <v>98</v>
      </c>
      <c r="N112">
        <v>264</v>
      </c>
      <c r="O112">
        <v>88</v>
      </c>
      <c r="P112">
        <v>83</v>
      </c>
      <c r="Q112">
        <v>1</v>
      </c>
      <c r="R112">
        <v>9.3800000000000008</v>
      </c>
      <c r="S112" t="s">
        <v>38</v>
      </c>
      <c r="T112" t="s">
        <v>26</v>
      </c>
      <c r="U112">
        <v>18</v>
      </c>
    </row>
    <row r="113" spans="1:21" x14ac:dyDescent="0.25">
      <c r="A113" t="s">
        <v>34</v>
      </c>
      <c r="B113" t="s">
        <v>27</v>
      </c>
      <c r="C113" t="s">
        <v>40</v>
      </c>
      <c r="D113" t="s">
        <v>23</v>
      </c>
      <c r="E113" t="s">
        <v>24</v>
      </c>
      <c r="F113">
        <v>62</v>
      </c>
      <c r="G113">
        <v>55</v>
      </c>
      <c r="H113">
        <v>49</v>
      </c>
      <c r="J113">
        <v>62</v>
      </c>
      <c r="K113">
        <v>7.8740078740000001</v>
      </c>
      <c r="L113">
        <v>49</v>
      </c>
      <c r="M113">
        <v>62</v>
      </c>
      <c r="N113">
        <v>166</v>
      </c>
      <c r="O113">
        <v>55.333333330000002</v>
      </c>
      <c r="P113">
        <v>58.5</v>
      </c>
      <c r="Q113">
        <v>4</v>
      </c>
      <c r="R113">
        <v>7.44</v>
      </c>
      <c r="S113" t="s">
        <v>41</v>
      </c>
      <c r="T113" t="s">
        <v>42</v>
      </c>
      <c r="U113">
        <v>11</v>
      </c>
    </row>
    <row r="114" spans="1:21" x14ac:dyDescent="0.25">
      <c r="A114" t="s">
        <v>34</v>
      </c>
      <c r="B114" t="s">
        <v>35</v>
      </c>
      <c r="C114" t="s">
        <v>36</v>
      </c>
      <c r="D114" t="s">
        <v>23</v>
      </c>
      <c r="E114" t="s">
        <v>24</v>
      </c>
      <c r="F114">
        <v>54</v>
      </c>
      <c r="G114">
        <v>53</v>
      </c>
      <c r="H114">
        <v>47</v>
      </c>
      <c r="J114">
        <v>54</v>
      </c>
      <c r="K114">
        <v>7.3484692279999999</v>
      </c>
      <c r="L114">
        <v>47</v>
      </c>
      <c r="M114">
        <v>54</v>
      </c>
      <c r="N114">
        <v>154</v>
      </c>
      <c r="O114">
        <v>51.333333330000002</v>
      </c>
      <c r="P114">
        <v>53.5</v>
      </c>
      <c r="Q114">
        <v>4</v>
      </c>
      <c r="R114">
        <v>7.16</v>
      </c>
      <c r="S114" t="s">
        <v>38</v>
      </c>
      <c r="T114" t="s">
        <v>26</v>
      </c>
      <c r="U114">
        <v>18</v>
      </c>
    </row>
    <row r="115" spans="1:21" x14ac:dyDescent="0.25">
      <c r="A115" t="s">
        <v>20</v>
      </c>
      <c r="B115" t="s">
        <v>39</v>
      </c>
      <c r="C115" t="s">
        <v>28</v>
      </c>
      <c r="D115" t="s">
        <v>23</v>
      </c>
      <c r="E115" t="s">
        <v>24</v>
      </c>
      <c r="F115">
        <v>51</v>
      </c>
      <c r="G115">
        <v>58</v>
      </c>
      <c r="H115">
        <v>54</v>
      </c>
      <c r="J115">
        <v>51</v>
      </c>
      <c r="K115">
        <v>7.1414284290000003</v>
      </c>
      <c r="L115">
        <v>51</v>
      </c>
      <c r="M115">
        <v>58</v>
      </c>
      <c r="N115">
        <v>163</v>
      </c>
      <c r="O115">
        <v>54.333333330000002</v>
      </c>
      <c r="P115">
        <v>52.5</v>
      </c>
      <c r="Q115">
        <v>2</v>
      </c>
      <c r="R115">
        <v>7.37</v>
      </c>
      <c r="S115" t="s">
        <v>30</v>
      </c>
      <c r="T115" t="s">
        <v>31</v>
      </c>
      <c r="U115">
        <v>12</v>
      </c>
    </row>
    <row r="116" spans="1:21" x14ac:dyDescent="0.25">
      <c r="A116" t="s">
        <v>20</v>
      </c>
      <c r="B116" t="s">
        <v>64</v>
      </c>
      <c r="C116" t="s">
        <v>22</v>
      </c>
      <c r="D116" t="s">
        <v>23</v>
      </c>
      <c r="E116" t="s">
        <v>29</v>
      </c>
      <c r="F116">
        <v>99</v>
      </c>
      <c r="G116">
        <v>100</v>
      </c>
      <c r="H116">
        <v>100</v>
      </c>
      <c r="J116">
        <v>99</v>
      </c>
      <c r="K116">
        <v>9.9498743709999999</v>
      </c>
      <c r="L116">
        <v>99</v>
      </c>
      <c r="M116">
        <v>100</v>
      </c>
      <c r="N116">
        <v>299</v>
      </c>
      <c r="O116">
        <v>99.666666669999998</v>
      </c>
      <c r="P116">
        <v>99.5</v>
      </c>
      <c r="Q116">
        <v>1</v>
      </c>
      <c r="R116">
        <v>9.98</v>
      </c>
      <c r="S116" t="s">
        <v>25</v>
      </c>
      <c r="T116" t="s">
        <v>26</v>
      </c>
      <c r="U116">
        <v>17</v>
      </c>
    </row>
    <row r="117" spans="1:21" x14ac:dyDescent="0.25">
      <c r="A117" t="s">
        <v>34</v>
      </c>
      <c r="B117" t="s">
        <v>27</v>
      </c>
      <c r="C117" t="s">
        <v>40</v>
      </c>
      <c r="D117" t="s">
        <v>23</v>
      </c>
      <c r="E117" t="s">
        <v>24</v>
      </c>
      <c r="F117">
        <v>84</v>
      </c>
      <c r="G117">
        <v>77</v>
      </c>
      <c r="H117">
        <v>74</v>
      </c>
      <c r="J117">
        <v>84</v>
      </c>
      <c r="K117">
        <v>9.1651513900000001</v>
      </c>
      <c r="L117">
        <v>74</v>
      </c>
      <c r="M117">
        <v>84</v>
      </c>
      <c r="N117">
        <v>235</v>
      </c>
      <c r="O117">
        <v>78.333333330000002</v>
      </c>
      <c r="P117">
        <v>80.5</v>
      </c>
      <c r="Q117">
        <v>4</v>
      </c>
      <c r="R117">
        <v>8.85</v>
      </c>
      <c r="S117" t="s">
        <v>41</v>
      </c>
      <c r="T117" t="s">
        <v>42</v>
      </c>
      <c r="U117">
        <v>11</v>
      </c>
    </row>
    <row r="118" spans="1:21" x14ac:dyDescent="0.25">
      <c r="A118" t="s">
        <v>20</v>
      </c>
      <c r="B118" t="s">
        <v>21</v>
      </c>
      <c r="C118" t="s">
        <v>22</v>
      </c>
      <c r="D118" t="s">
        <v>37</v>
      </c>
      <c r="E118" t="s">
        <v>24</v>
      </c>
      <c r="F118">
        <v>75</v>
      </c>
      <c r="G118">
        <v>85</v>
      </c>
      <c r="H118">
        <v>82</v>
      </c>
      <c r="J118">
        <v>75</v>
      </c>
      <c r="K118">
        <v>8.6602540379999997</v>
      </c>
      <c r="L118">
        <v>75</v>
      </c>
      <c r="M118">
        <v>85</v>
      </c>
      <c r="N118">
        <v>242</v>
      </c>
      <c r="O118">
        <v>80.666666669999998</v>
      </c>
      <c r="P118">
        <v>78.5</v>
      </c>
      <c r="Q118">
        <v>2</v>
      </c>
      <c r="R118">
        <v>8.98</v>
      </c>
      <c r="S118" t="s">
        <v>25</v>
      </c>
      <c r="T118" t="s">
        <v>26</v>
      </c>
      <c r="U118">
        <v>17</v>
      </c>
    </row>
    <row r="119" spans="1:21" x14ac:dyDescent="0.25">
      <c r="A119" t="s">
        <v>20</v>
      </c>
      <c r="B119" t="s">
        <v>39</v>
      </c>
      <c r="C119" t="s">
        <v>22</v>
      </c>
      <c r="D119" t="s">
        <v>23</v>
      </c>
      <c r="E119" t="s">
        <v>24</v>
      </c>
      <c r="F119">
        <v>78</v>
      </c>
      <c r="G119">
        <v>82</v>
      </c>
      <c r="H119">
        <v>79</v>
      </c>
      <c r="J119">
        <v>78</v>
      </c>
      <c r="K119">
        <v>8.8317608659999998</v>
      </c>
      <c r="L119">
        <v>78</v>
      </c>
      <c r="M119">
        <v>82</v>
      </c>
      <c r="N119">
        <v>239</v>
      </c>
      <c r="O119">
        <v>79.666666669999998</v>
      </c>
      <c r="P119">
        <v>78.5</v>
      </c>
      <c r="Q119">
        <v>2</v>
      </c>
      <c r="R119">
        <v>8.93</v>
      </c>
      <c r="S119" t="s">
        <v>25</v>
      </c>
      <c r="T119" t="s">
        <v>26</v>
      </c>
      <c r="U119">
        <v>17</v>
      </c>
    </row>
    <row r="120" spans="1:21" x14ac:dyDescent="0.25">
      <c r="A120" t="s">
        <v>20</v>
      </c>
      <c r="B120" t="s">
        <v>39</v>
      </c>
      <c r="C120" t="s">
        <v>50</v>
      </c>
      <c r="D120" t="s">
        <v>23</v>
      </c>
      <c r="E120" t="s">
        <v>24</v>
      </c>
      <c r="F120">
        <v>51</v>
      </c>
      <c r="G120">
        <v>63</v>
      </c>
      <c r="H120">
        <v>61</v>
      </c>
      <c r="J120">
        <v>51</v>
      </c>
      <c r="K120">
        <v>7.1414284290000003</v>
      </c>
      <c r="L120">
        <v>51</v>
      </c>
      <c r="M120">
        <v>63</v>
      </c>
      <c r="N120">
        <v>175</v>
      </c>
      <c r="O120">
        <v>58.333333330000002</v>
      </c>
      <c r="P120">
        <v>56</v>
      </c>
      <c r="Q120">
        <v>2</v>
      </c>
      <c r="R120">
        <v>7.64</v>
      </c>
      <c r="S120" t="s">
        <v>30</v>
      </c>
      <c r="T120" t="s">
        <v>42</v>
      </c>
      <c r="U120">
        <v>16</v>
      </c>
    </row>
    <row r="121" spans="1:21" x14ac:dyDescent="0.25">
      <c r="A121" t="s">
        <v>20</v>
      </c>
      <c r="B121" t="s">
        <v>27</v>
      </c>
      <c r="C121" t="s">
        <v>28</v>
      </c>
      <c r="D121" t="s">
        <v>23</v>
      </c>
      <c r="E121" t="s">
        <v>24</v>
      </c>
      <c r="F121">
        <v>55</v>
      </c>
      <c r="G121">
        <v>69</v>
      </c>
      <c r="H121">
        <v>65</v>
      </c>
      <c r="J121">
        <v>55</v>
      </c>
      <c r="K121">
        <v>7.416198487</v>
      </c>
      <c r="L121">
        <v>55</v>
      </c>
      <c r="M121">
        <v>69</v>
      </c>
      <c r="N121">
        <v>189</v>
      </c>
      <c r="O121">
        <v>63</v>
      </c>
      <c r="P121">
        <v>60</v>
      </c>
      <c r="Q121">
        <v>2</v>
      </c>
      <c r="R121">
        <v>7.94</v>
      </c>
      <c r="S121" t="s">
        <v>30</v>
      </c>
      <c r="T121" t="s">
        <v>31</v>
      </c>
      <c r="U121">
        <v>12</v>
      </c>
    </row>
    <row r="122" spans="1:21" x14ac:dyDescent="0.25">
      <c r="A122" t="s">
        <v>20</v>
      </c>
      <c r="B122" t="s">
        <v>27</v>
      </c>
      <c r="C122" t="s">
        <v>22</v>
      </c>
      <c r="D122" t="s">
        <v>23</v>
      </c>
      <c r="E122" t="s">
        <v>29</v>
      </c>
      <c r="F122">
        <v>79</v>
      </c>
      <c r="G122">
        <v>92</v>
      </c>
      <c r="H122">
        <v>89</v>
      </c>
      <c r="J122">
        <v>79</v>
      </c>
      <c r="K122">
        <v>8.8881944169999993</v>
      </c>
      <c r="L122">
        <v>79</v>
      </c>
      <c r="M122">
        <v>92</v>
      </c>
      <c r="N122">
        <v>260</v>
      </c>
      <c r="O122">
        <v>86.666666669999998</v>
      </c>
      <c r="P122">
        <v>84</v>
      </c>
      <c r="Q122">
        <v>2</v>
      </c>
      <c r="R122">
        <v>9.31</v>
      </c>
      <c r="S122" t="s">
        <v>25</v>
      </c>
      <c r="T122" t="s">
        <v>26</v>
      </c>
      <c r="U122">
        <v>17</v>
      </c>
    </row>
    <row r="123" spans="1:21" x14ac:dyDescent="0.25">
      <c r="A123" t="s">
        <v>34</v>
      </c>
      <c r="B123" t="s">
        <v>21</v>
      </c>
      <c r="C123" t="s">
        <v>36</v>
      </c>
      <c r="D123" t="s">
        <v>23</v>
      </c>
      <c r="E123" t="s">
        <v>29</v>
      </c>
      <c r="F123">
        <v>91</v>
      </c>
      <c r="G123">
        <v>89</v>
      </c>
      <c r="H123">
        <v>92</v>
      </c>
      <c r="J123">
        <v>91</v>
      </c>
      <c r="K123">
        <v>9.5393920140000006</v>
      </c>
      <c r="L123">
        <v>89</v>
      </c>
      <c r="M123">
        <v>92</v>
      </c>
      <c r="N123">
        <v>272</v>
      </c>
      <c r="O123">
        <v>90.666666669999998</v>
      </c>
      <c r="P123">
        <v>91</v>
      </c>
      <c r="Q123">
        <v>1</v>
      </c>
      <c r="R123">
        <v>9.52</v>
      </c>
      <c r="S123" t="s">
        <v>38</v>
      </c>
      <c r="T123" t="s">
        <v>26</v>
      </c>
      <c r="U123">
        <v>18</v>
      </c>
    </row>
    <row r="124" spans="1:21" x14ac:dyDescent="0.25">
      <c r="A124" t="s">
        <v>20</v>
      </c>
      <c r="B124" t="s">
        <v>27</v>
      </c>
      <c r="C124" t="s">
        <v>28</v>
      </c>
      <c r="D124" t="s">
        <v>23</v>
      </c>
      <c r="E124" t="s">
        <v>29</v>
      </c>
      <c r="F124">
        <v>88</v>
      </c>
      <c r="G124">
        <v>93</v>
      </c>
      <c r="H124">
        <v>93</v>
      </c>
      <c r="J124">
        <v>88</v>
      </c>
      <c r="K124">
        <v>9.3808315199999992</v>
      </c>
      <c r="L124">
        <v>88</v>
      </c>
      <c r="M124">
        <v>93</v>
      </c>
      <c r="N124">
        <v>274</v>
      </c>
      <c r="O124">
        <v>91.333333330000002</v>
      </c>
      <c r="P124">
        <v>90.5</v>
      </c>
      <c r="Q124">
        <v>1</v>
      </c>
      <c r="R124">
        <v>9.56</v>
      </c>
      <c r="S124" t="s">
        <v>30</v>
      </c>
      <c r="T124" t="s">
        <v>31</v>
      </c>
      <c r="U124">
        <v>12</v>
      </c>
    </row>
    <row r="125" spans="1:21" x14ac:dyDescent="0.25">
      <c r="A125" t="s">
        <v>34</v>
      </c>
      <c r="B125" t="s">
        <v>39</v>
      </c>
      <c r="C125" t="s">
        <v>40</v>
      </c>
      <c r="D125" t="s">
        <v>37</v>
      </c>
      <c r="E125" t="s">
        <v>24</v>
      </c>
      <c r="F125">
        <v>63</v>
      </c>
      <c r="G125">
        <v>57</v>
      </c>
      <c r="H125">
        <v>56</v>
      </c>
      <c r="J125">
        <v>63</v>
      </c>
      <c r="K125">
        <v>7.937253933</v>
      </c>
      <c r="L125">
        <v>56</v>
      </c>
      <c r="M125">
        <v>63</v>
      </c>
      <c r="N125">
        <v>176</v>
      </c>
      <c r="O125">
        <v>58.666666669999998</v>
      </c>
      <c r="P125">
        <v>60</v>
      </c>
      <c r="Q125">
        <v>4</v>
      </c>
      <c r="R125">
        <v>7.66</v>
      </c>
      <c r="S125" t="s">
        <v>41</v>
      </c>
      <c r="T125" t="s">
        <v>42</v>
      </c>
      <c r="U125">
        <v>11</v>
      </c>
    </row>
    <row r="126" spans="1:21" x14ac:dyDescent="0.25">
      <c r="A126" t="s">
        <v>34</v>
      </c>
      <c r="B126" t="s">
        <v>64</v>
      </c>
      <c r="C126" t="s">
        <v>28</v>
      </c>
      <c r="D126" t="s">
        <v>23</v>
      </c>
      <c r="E126" t="s">
        <v>24</v>
      </c>
      <c r="F126">
        <v>83</v>
      </c>
      <c r="G126">
        <v>80</v>
      </c>
      <c r="H126">
        <v>73</v>
      </c>
      <c r="J126">
        <v>83</v>
      </c>
      <c r="K126">
        <v>9.1104335790000004</v>
      </c>
      <c r="L126">
        <v>73</v>
      </c>
      <c r="M126">
        <v>83</v>
      </c>
      <c r="N126">
        <v>236</v>
      </c>
      <c r="O126">
        <v>78.666666669999998</v>
      </c>
      <c r="P126">
        <v>81.5</v>
      </c>
      <c r="Q126">
        <v>4</v>
      </c>
      <c r="R126">
        <v>8.8699999999999992</v>
      </c>
      <c r="S126" t="s">
        <v>30</v>
      </c>
      <c r="T126" t="s">
        <v>31</v>
      </c>
      <c r="U126">
        <v>12</v>
      </c>
    </row>
    <row r="127" spans="1:21" x14ac:dyDescent="0.25">
      <c r="A127" t="s">
        <v>20</v>
      </c>
      <c r="B127" t="s">
        <v>21</v>
      </c>
      <c r="C127" t="s">
        <v>40</v>
      </c>
      <c r="D127" t="s">
        <v>23</v>
      </c>
      <c r="E127" t="s">
        <v>24</v>
      </c>
      <c r="F127">
        <v>87</v>
      </c>
      <c r="G127">
        <v>95</v>
      </c>
      <c r="H127">
        <v>86</v>
      </c>
      <c r="J127">
        <v>87</v>
      </c>
      <c r="K127">
        <v>9.3273790529999996</v>
      </c>
      <c r="L127">
        <v>86</v>
      </c>
      <c r="M127">
        <v>95</v>
      </c>
      <c r="N127">
        <v>268</v>
      </c>
      <c r="O127">
        <v>89.333333330000002</v>
      </c>
      <c r="P127">
        <v>87</v>
      </c>
      <c r="Q127">
        <v>4</v>
      </c>
      <c r="R127">
        <v>9.4499999999999993</v>
      </c>
      <c r="S127" t="s">
        <v>41</v>
      </c>
      <c r="T127" t="s">
        <v>42</v>
      </c>
      <c r="U127">
        <v>11</v>
      </c>
    </row>
    <row r="128" spans="1:21" x14ac:dyDescent="0.25">
      <c r="A128" t="s">
        <v>34</v>
      </c>
      <c r="B128" t="s">
        <v>21</v>
      </c>
      <c r="C128" t="s">
        <v>50</v>
      </c>
      <c r="D128" t="s">
        <v>23</v>
      </c>
      <c r="E128" t="s">
        <v>24</v>
      </c>
      <c r="F128">
        <v>72</v>
      </c>
      <c r="G128">
        <v>68</v>
      </c>
      <c r="H128">
        <v>67</v>
      </c>
      <c r="J128">
        <v>72</v>
      </c>
      <c r="K128">
        <v>8.4852813739999995</v>
      </c>
      <c r="L128">
        <v>67</v>
      </c>
      <c r="M128">
        <v>72</v>
      </c>
      <c r="N128">
        <v>207</v>
      </c>
      <c r="O128">
        <v>69</v>
      </c>
      <c r="P128">
        <v>70</v>
      </c>
      <c r="Q128">
        <v>4</v>
      </c>
      <c r="R128">
        <v>8.31</v>
      </c>
      <c r="S128" t="s">
        <v>30</v>
      </c>
      <c r="T128" t="s">
        <v>42</v>
      </c>
      <c r="U128">
        <v>16</v>
      </c>
    </row>
    <row r="129" spans="1:21" x14ac:dyDescent="0.25">
      <c r="A129" t="s">
        <v>34</v>
      </c>
      <c r="B129" t="s">
        <v>39</v>
      </c>
      <c r="C129" t="s">
        <v>28</v>
      </c>
      <c r="D129" t="s">
        <v>23</v>
      </c>
      <c r="E129" t="s">
        <v>29</v>
      </c>
      <c r="F129">
        <v>65</v>
      </c>
      <c r="G129">
        <v>77</v>
      </c>
      <c r="H129">
        <v>74</v>
      </c>
      <c r="J129">
        <v>65</v>
      </c>
      <c r="K129">
        <v>8.0622577480000004</v>
      </c>
      <c r="L129">
        <v>65</v>
      </c>
      <c r="M129">
        <v>77</v>
      </c>
      <c r="N129">
        <v>216</v>
      </c>
      <c r="O129">
        <v>72</v>
      </c>
      <c r="P129">
        <v>69.5</v>
      </c>
      <c r="Q129">
        <v>2</v>
      </c>
      <c r="R129">
        <v>8.49</v>
      </c>
      <c r="S129" t="s">
        <v>30</v>
      </c>
      <c r="T129" t="s">
        <v>31</v>
      </c>
      <c r="U129">
        <v>12</v>
      </c>
    </row>
    <row r="130" spans="1:21" x14ac:dyDescent="0.25">
      <c r="A130" t="s">
        <v>34</v>
      </c>
      <c r="B130" t="s">
        <v>39</v>
      </c>
      <c r="C130" t="s">
        <v>32</v>
      </c>
      <c r="D130" t="s">
        <v>23</v>
      </c>
      <c r="E130" t="s">
        <v>24</v>
      </c>
      <c r="F130">
        <v>82</v>
      </c>
      <c r="G130">
        <v>82</v>
      </c>
      <c r="H130">
        <v>74</v>
      </c>
      <c r="J130">
        <v>82</v>
      </c>
      <c r="K130">
        <v>9.0553851380000001</v>
      </c>
      <c r="L130">
        <v>74</v>
      </c>
      <c r="M130">
        <v>82</v>
      </c>
      <c r="N130">
        <v>238</v>
      </c>
      <c r="O130">
        <v>79.333333330000002</v>
      </c>
      <c r="P130">
        <v>82</v>
      </c>
      <c r="Q130">
        <v>4</v>
      </c>
      <c r="R130">
        <v>8.91</v>
      </c>
      <c r="S130" t="s">
        <v>33</v>
      </c>
      <c r="T130" t="s">
        <v>26</v>
      </c>
      <c r="U130">
        <v>15</v>
      </c>
    </row>
    <row r="131" spans="1:21" x14ac:dyDescent="0.25">
      <c r="A131" t="s">
        <v>20</v>
      </c>
      <c r="B131" t="s">
        <v>35</v>
      </c>
      <c r="C131" t="s">
        <v>22</v>
      </c>
      <c r="D131" t="s">
        <v>23</v>
      </c>
      <c r="E131" t="s">
        <v>24</v>
      </c>
      <c r="F131">
        <v>51</v>
      </c>
      <c r="G131">
        <v>49</v>
      </c>
      <c r="H131">
        <v>51</v>
      </c>
      <c r="J131">
        <v>51</v>
      </c>
      <c r="K131">
        <v>7.1414284290000003</v>
      </c>
      <c r="L131">
        <v>49</v>
      </c>
      <c r="M131">
        <v>51</v>
      </c>
      <c r="N131">
        <v>151</v>
      </c>
      <c r="O131">
        <v>50.333333330000002</v>
      </c>
      <c r="P131">
        <v>51</v>
      </c>
      <c r="Q131">
        <v>1</v>
      </c>
      <c r="R131">
        <v>7.09</v>
      </c>
      <c r="S131" t="s">
        <v>25</v>
      </c>
      <c r="T131" t="s">
        <v>26</v>
      </c>
      <c r="U131">
        <v>17</v>
      </c>
    </row>
    <row r="132" spans="1:21" x14ac:dyDescent="0.25">
      <c r="A132" t="s">
        <v>34</v>
      </c>
      <c r="B132" t="s">
        <v>39</v>
      </c>
      <c r="C132" t="s">
        <v>32</v>
      </c>
      <c r="D132" t="s">
        <v>23</v>
      </c>
      <c r="E132" t="s">
        <v>24</v>
      </c>
      <c r="F132">
        <v>89</v>
      </c>
      <c r="G132">
        <v>84</v>
      </c>
      <c r="H132">
        <v>82</v>
      </c>
      <c r="J132">
        <v>89</v>
      </c>
      <c r="K132">
        <v>9.4339811319999995</v>
      </c>
      <c r="L132">
        <v>82</v>
      </c>
      <c r="M132">
        <v>89</v>
      </c>
      <c r="N132">
        <v>255</v>
      </c>
      <c r="O132">
        <v>85</v>
      </c>
      <c r="P132">
        <v>86.5</v>
      </c>
      <c r="Q132">
        <v>4</v>
      </c>
      <c r="R132">
        <v>9.2200000000000006</v>
      </c>
      <c r="S132" t="s">
        <v>33</v>
      </c>
      <c r="T132" t="s">
        <v>26</v>
      </c>
      <c r="U132">
        <v>15</v>
      </c>
    </row>
    <row r="133" spans="1:21" x14ac:dyDescent="0.25">
      <c r="A133" t="s">
        <v>34</v>
      </c>
      <c r="B133" t="s">
        <v>27</v>
      </c>
      <c r="C133" t="s">
        <v>50</v>
      </c>
      <c r="D133" t="s">
        <v>37</v>
      </c>
      <c r="E133" t="s">
        <v>29</v>
      </c>
      <c r="F133">
        <v>53</v>
      </c>
      <c r="G133">
        <v>37</v>
      </c>
      <c r="H133">
        <v>40</v>
      </c>
      <c r="J133">
        <v>53</v>
      </c>
      <c r="K133">
        <v>7.2801098890000002</v>
      </c>
      <c r="L133">
        <v>37</v>
      </c>
      <c r="M133">
        <v>53</v>
      </c>
      <c r="N133">
        <v>130</v>
      </c>
      <c r="O133">
        <v>43.333333330000002</v>
      </c>
      <c r="P133">
        <v>46.5</v>
      </c>
      <c r="Q133">
        <v>3</v>
      </c>
      <c r="R133">
        <v>6.58</v>
      </c>
      <c r="S133" t="s">
        <v>30</v>
      </c>
      <c r="T133" t="s">
        <v>42</v>
      </c>
      <c r="U133">
        <v>16</v>
      </c>
    </row>
    <row r="134" spans="1:21" x14ac:dyDescent="0.25">
      <c r="A134" t="s">
        <v>34</v>
      </c>
      <c r="B134" t="s">
        <v>64</v>
      </c>
      <c r="C134" t="s">
        <v>28</v>
      </c>
      <c r="D134" t="s">
        <v>37</v>
      </c>
      <c r="E134" t="s">
        <v>29</v>
      </c>
      <c r="F134">
        <v>87</v>
      </c>
      <c r="G134">
        <v>74</v>
      </c>
      <c r="H134">
        <v>70</v>
      </c>
      <c r="J134">
        <v>87</v>
      </c>
      <c r="K134">
        <v>9.3273790529999996</v>
      </c>
      <c r="L134">
        <v>70</v>
      </c>
      <c r="M134">
        <v>87</v>
      </c>
      <c r="N134">
        <v>231</v>
      </c>
      <c r="O134">
        <v>77</v>
      </c>
      <c r="P134">
        <v>80.5</v>
      </c>
      <c r="Q134">
        <v>4</v>
      </c>
      <c r="R134">
        <v>8.77</v>
      </c>
      <c r="S134" t="s">
        <v>30</v>
      </c>
      <c r="T134" t="s">
        <v>31</v>
      </c>
      <c r="U134">
        <v>12</v>
      </c>
    </row>
    <row r="135" spans="1:21" x14ac:dyDescent="0.25">
      <c r="A135" t="s">
        <v>20</v>
      </c>
      <c r="B135" t="s">
        <v>27</v>
      </c>
      <c r="C135" t="s">
        <v>28</v>
      </c>
      <c r="D135" t="s">
        <v>23</v>
      </c>
      <c r="E135" t="s">
        <v>29</v>
      </c>
      <c r="F135">
        <v>75</v>
      </c>
      <c r="G135">
        <v>81</v>
      </c>
      <c r="H135">
        <v>84</v>
      </c>
      <c r="J135">
        <v>75</v>
      </c>
      <c r="K135">
        <v>8.6602540379999997</v>
      </c>
      <c r="L135">
        <v>75</v>
      </c>
      <c r="M135">
        <v>84</v>
      </c>
      <c r="N135">
        <v>240</v>
      </c>
      <c r="O135">
        <v>80</v>
      </c>
      <c r="P135">
        <v>78</v>
      </c>
      <c r="Q135">
        <v>1</v>
      </c>
      <c r="R135">
        <v>8.94</v>
      </c>
      <c r="S135" t="s">
        <v>30</v>
      </c>
      <c r="T135" t="s">
        <v>31</v>
      </c>
      <c r="U135">
        <v>12</v>
      </c>
    </row>
    <row r="136" spans="1:21" x14ac:dyDescent="0.25">
      <c r="A136" t="s">
        <v>34</v>
      </c>
      <c r="B136" t="s">
        <v>39</v>
      </c>
      <c r="C136" t="s">
        <v>22</v>
      </c>
      <c r="D136" t="s">
        <v>37</v>
      </c>
      <c r="E136" t="s">
        <v>29</v>
      </c>
      <c r="F136">
        <v>74</v>
      </c>
      <c r="G136">
        <v>79</v>
      </c>
      <c r="H136">
        <v>75</v>
      </c>
      <c r="J136">
        <v>74</v>
      </c>
      <c r="K136">
        <v>8.6023252669999994</v>
      </c>
      <c r="L136">
        <v>74</v>
      </c>
      <c r="M136">
        <v>79</v>
      </c>
      <c r="N136">
        <v>228</v>
      </c>
      <c r="O136">
        <v>76</v>
      </c>
      <c r="P136">
        <v>74.5</v>
      </c>
      <c r="Q136">
        <v>2</v>
      </c>
      <c r="R136">
        <v>8.7200000000000006</v>
      </c>
      <c r="S136" t="s">
        <v>25</v>
      </c>
      <c r="T136" t="s">
        <v>26</v>
      </c>
      <c r="U136">
        <v>17</v>
      </c>
    </row>
    <row r="137" spans="1:21" x14ac:dyDescent="0.25">
      <c r="A137" t="s">
        <v>34</v>
      </c>
      <c r="B137" t="s">
        <v>27</v>
      </c>
      <c r="C137" t="s">
        <v>22</v>
      </c>
      <c r="D137" t="s">
        <v>23</v>
      </c>
      <c r="E137" t="s">
        <v>24</v>
      </c>
      <c r="F137">
        <v>58</v>
      </c>
      <c r="G137">
        <v>55</v>
      </c>
      <c r="H137">
        <v>48</v>
      </c>
      <c r="J137">
        <v>58</v>
      </c>
      <c r="K137">
        <v>7.6157731059999998</v>
      </c>
      <c r="L137">
        <v>48</v>
      </c>
      <c r="M137">
        <v>58</v>
      </c>
      <c r="N137">
        <v>161</v>
      </c>
      <c r="O137">
        <v>53.666666669999998</v>
      </c>
      <c r="P137">
        <v>56.5</v>
      </c>
      <c r="Q137">
        <v>4</v>
      </c>
      <c r="R137">
        <v>7.33</v>
      </c>
      <c r="S137" t="s">
        <v>25</v>
      </c>
      <c r="T137" t="s">
        <v>26</v>
      </c>
      <c r="U137">
        <v>17</v>
      </c>
    </row>
    <row r="138" spans="1:21" x14ac:dyDescent="0.25">
      <c r="A138" t="s">
        <v>34</v>
      </c>
      <c r="B138" t="s">
        <v>21</v>
      </c>
      <c r="C138" t="s">
        <v>50</v>
      </c>
      <c r="D138" t="s">
        <v>23</v>
      </c>
      <c r="E138" t="s">
        <v>29</v>
      </c>
      <c r="F138">
        <v>51</v>
      </c>
      <c r="G138">
        <v>54</v>
      </c>
      <c r="H138">
        <v>41</v>
      </c>
      <c r="J138">
        <v>51</v>
      </c>
      <c r="K138">
        <v>7.1414284290000003</v>
      </c>
      <c r="L138">
        <v>41</v>
      </c>
      <c r="M138">
        <v>54</v>
      </c>
      <c r="N138">
        <v>146</v>
      </c>
      <c r="O138">
        <v>48.666666669999998</v>
      </c>
      <c r="P138">
        <v>51</v>
      </c>
      <c r="Q138">
        <v>4</v>
      </c>
      <c r="R138">
        <v>6.98</v>
      </c>
      <c r="S138" t="s">
        <v>30</v>
      </c>
      <c r="T138" t="s">
        <v>42</v>
      </c>
      <c r="U138">
        <v>16</v>
      </c>
    </row>
    <row r="139" spans="1:21" x14ac:dyDescent="0.25">
      <c r="A139" t="s">
        <v>34</v>
      </c>
      <c r="B139" t="s">
        <v>64</v>
      </c>
      <c r="C139" t="s">
        <v>40</v>
      </c>
      <c r="D139" t="s">
        <v>23</v>
      </c>
      <c r="E139" t="s">
        <v>24</v>
      </c>
      <c r="F139">
        <v>70</v>
      </c>
      <c r="G139">
        <v>55</v>
      </c>
      <c r="H139">
        <v>56</v>
      </c>
      <c r="J139">
        <v>70</v>
      </c>
      <c r="K139">
        <v>8.3666002650000006</v>
      </c>
      <c r="L139">
        <v>55</v>
      </c>
      <c r="M139">
        <v>70</v>
      </c>
      <c r="N139">
        <v>181</v>
      </c>
      <c r="O139">
        <v>60.333333330000002</v>
      </c>
      <c r="P139">
        <v>63</v>
      </c>
      <c r="Q139">
        <v>3</v>
      </c>
      <c r="R139">
        <v>7.77</v>
      </c>
      <c r="S139" t="s">
        <v>41</v>
      </c>
      <c r="T139" t="s">
        <v>42</v>
      </c>
      <c r="U139">
        <v>11</v>
      </c>
    </row>
    <row r="140" spans="1:21" x14ac:dyDescent="0.25">
      <c r="A140" t="s">
        <v>20</v>
      </c>
      <c r="B140" t="s">
        <v>27</v>
      </c>
      <c r="C140" t="s">
        <v>36</v>
      </c>
      <c r="D140" t="s">
        <v>23</v>
      </c>
      <c r="E140" t="s">
        <v>24</v>
      </c>
      <c r="F140">
        <v>59</v>
      </c>
      <c r="G140">
        <v>66</v>
      </c>
      <c r="H140">
        <v>67</v>
      </c>
      <c r="J140">
        <v>59</v>
      </c>
      <c r="K140">
        <v>7.6811457479999996</v>
      </c>
      <c r="L140">
        <v>59</v>
      </c>
      <c r="M140">
        <v>67</v>
      </c>
      <c r="N140">
        <v>192</v>
      </c>
      <c r="O140">
        <v>64</v>
      </c>
      <c r="P140">
        <v>62.5</v>
      </c>
      <c r="Q140">
        <v>1</v>
      </c>
      <c r="R140">
        <v>8</v>
      </c>
      <c r="S140" t="s">
        <v>38</v>
      </c>
      <c r="T140" t="s">
        <v>26</v>
      </c>
      <c r="U140">
        <v>18</v>
      </c>
    </row>
    <row r="141" spans="1:21" x14ac:dyDescent="0.25">
      <c r="A141" t="s">
        <v>34</v>
      </c>
      <c r="B141" t="s">
        <v>39</v>
      </c>
      <c r="C141" t="s">
        <v>28</v>
      </c>
      <c r="D141" t="s">
        <v>23</v>
      </c>
      <c r="E141" t="s">
        <v>29</v>
      </c>
      <c r="F141">
        <v>71</v>
      </c>
      <c r="G141">
        <v>61</v>
      </c>
      <c r="H141">
        <v>69</v>
      </c>
      <c r="J141">
        <v>71</v>
      </c>
      <c r="K141">
        <v>8.4261497730000006</v>
      </c>
      <c r="L141">
        <v>61</v>
      </c>
      <c r="M141">
        <v>71</v>
      </c>
      <c r="N141">
        <v>201</v>
      </c>
      <c r="O141">
        <v>67</v>
      </c>
      <c r="P141">
        <v>70</v>
      </c>
      <c r="Q141">
        <v>3</v>
      </c>
      <c r="R141">
        <v>8.19</v>
      </c>
      <c r="S141" t="s">
        <v>30</v>
      </c>
      <c r="T141" t="s">
        <v>31</v>
      </c>
      <c r="U141">
        <v>12</v>
      </c>
    </row>
    <row r="142" spans="1:21" x14ac:dyDescent="0.25">
      <c r="A142" t="s">
        <v>20</v>
      </c>
      <c r="B142" t="s">
        <v>39</v>
      </c>
      <c r="C142" t="s">
        <v>50</v>
      </c>
      <c r="D142" t="s">
        <v>23</v>
      </c>
      <c r="E142" t="s">
        <v>24</v>
      </c>
      <c r="F142">
        <v>76</v>
      </c>
      <c r="G142">
        <v>72</v>
      </c>
      <c r="H142">
        <v>71</v>
      </c>
      <c r="J142">
        <v>76</v>
      </c>
      <c r="K142">
        <v>8.7177978869999997</v>
      </c>
      <c r="L142">
        <v>71</v>
      </c>
      <c r="M142">
        <v>76</v>
      </c>
      <c r="N142">
        <v>219</v>
      </c>
      <c r="O142">
        <v>73</v>
      </c>
      <c r="P142">
        <v>74</v>
      </c>
      <c r="Q142">
        <v>4</v>
      </c>
      <c r="R142">
        <v>8.5399999999999991</v>
      </c>
      <c r="S142" t="s">
        <v>30</v>
      </c>
      <c r="T142" t="s">
        <v>42</v>
      </c>
      <c r="U142">
        <v>16</v>
      </c>
    </row>
    <row r="143" spans="1:21" x14ac:dyDescent="0.25">
      <c r="A143" t="s">
        <v>20</v>
      </c>
      <c r="B143" t="s">
        <v>27</v>
      </c>
      <c r="C143" t="s">
        <v>28</v>
      </c>
      <c r="D143" t="s">
        <v>37</v>
      </c>
      <c r="E143" t="s">
        <v>24</v>
      </c>
      <c r="F143">
        <v>59</v>
      </c>
      <c r="G143">
        <v>62</v>
      </c>
      <c r="H143">
        <v>64</v>
      </c>
      <c r="J143">
        <v>59</v>
      </c>
      <c r="K143">
        <v>7.6811457479999996</v>
      </c>
      <c r="L143">
        <v>59</v>
      </c>
      <c r="M143">
        <v>64</v>
      </c>
      <c r="N143">
        <v>185</v>
      </c>
      <c r="O143">
        <v>61.666666669999998</v>
      </c>
      <c r="P143">
        <v>60.5</v>
      </c>
      <c r="Q143">
        <v>1</v>
      </c>
      <c r="R143">
        <v>7.85</v>
      </c>
      <c r="S143" t="s">
        <v>30</v>
      </c>
      <c r="T143" t="s">
        <v>31</v>
      </c>
      <c r="U143">
        <v>12</v>
      </c>
    </row>
    <row r="144" spans="1:21" x14ac:dyDescent="0.25">
      <c r="A144" t="s">
        <v>20</v>
      </c>
      <c r="B144" t="s">
        <v>64</v>
      </c>
      <c r="C144" t="s">
        <v>28</v>
      </c>
      <c r="D144" t="s">
        <v>37</v>
      </c>
      <c r="E144" t="s">
        <v>29</v>
      </c>
      <c r="F144">
        <v>42</v>
      </c>
      <c r="G144">
        <v>55</v>
      </c>
      <c r="H144">
        <v>54</v>
      </c>
      <c r="J144">
        <v>42</v>
      </c>
      <c r="K144">
        <v>6.480740698</v>
      </c>
      <c r="L144">
        <v>42</v>
      </c>
      <c r="M144">
        <v>55</v>
      </c>
      <c r="N144">
        <v>151</v>
      </c>
      <c r="O144">
        <v>50.333333330000002</v>
      </c>
      <c r="P144">
        <v>48</v>
      </c>
      <c r="Q144">
        <v>2</v>
      </c>
      <c r="R144">
        <v>7.09</v>
      </c>
      <c r="S144" t="s">
        <v>30</v>
      </c>
      <c r="T144" t="s">
        <v>31</v>
      </c>
      <c r="U144">
        <v>12</v>
      </c>
    </row>
    <row r="145" spans="1:21" x14ac:dyDescent="0.25">
      <c r="A145" t="s">
        <v>34</v>
      </c>
      <c r="B145" t="s">
        <v>35</v>
      </c>
      <c r="C145" t="s">
        <v>40</v>
      </c>
      <c r="D145" t="s">
        <v>23</v>
      </c>
      <c r="E145" t="s">
        <v>24</v>
      </c>
      <c r="F145">
        <v>57</v>
      </c>
      <c r="G145">
        <v>43</v>
      </c>
      <c r="H145">
        <v>47</v>
      </c>
      <c r="J145">
        <v>57</v>
      </c>
      <c r="K145">
        <v>7.5498344350000002</v>
      </c>
      <c r="L145">
        <v>43</v>
      </c>
      <c r="M145">
        <v>57</v>
      </c>
      <c r="N145">
        <v>147</v>
      </c>
      <c r="O145">
        <v>49</v>
      </c>
      <c r="P145">
        <v>52</v>
      </c>
      <c r="Q145">
        <v>3</v>
      </c>
      <c r="R145">
        <v>7</v>
      </c>
      <c r="S145" t="s">
        <v>41</v>
      </c>
      <c r="T145" t="s">
        <v>42</v>
      </c>
      <c r="U145">
        <v>11</v>
      </c>
    </row>
    <row r="146" spans="1:21" x14ac:dyDescent="0.25">
      <c r="A146" t="s">
        <v>34</v>
      </c>
      <c r="B146" t="s">
        <v>39</v>
      </c>
      <c r="C146" t="s">
        <v>28</v>
      </c>
      <c r="D146" t="s">
        <v>23</v>
      </c>
      <c r="E146" t="s">
        <v>24</v>
      </c>
      <c r="F146">
        <v>88</v>
      </c>
      <c r="G146">
        <v>73</v>
      </c>
      <c r="H146">
        <v>78</v>
      </c>
      <c r="J146">
        <v>88</v>
      </c>
      <c r="K146">
        <v>9.3808315199999992</v>
      </c>
      <c r="L146">
        <v>73</v>
      </c>
      <c r="M146">
        <v>88</v>
      </c>
      <c r="N146">
        <v>239</v>
      </c>
      <c r="O146">
        <v>79.666666669999998</v>
      </c>
      <c r="P146">
        <v>83</v>
      </c>
      <c r="Q146">
        <v>3</v>
      </c>
      <c r="R146">
        <v>8.93</v>
      </c>
      <c r="S146" t="s">
        <v>30</v>
      </c>
      <c r="T146" t="s">
        <v>31</v>
      </c>
      <c r="U146">
        <v>12</v>
      </c>
    </row>
    <row r="147" spans="1:21" x14ac:dyDescent="0.25">
      <c r="A147" t="s">
        <v>20</v>
      </c>
      <c r="B147" t="s">
        <v>27</v>
      </c>
      <c r="C147" t="s">
        <v>28</v>
      </c>
      <c r="D147" t="s">
        <v>37</v>
      </c>
      <c r="E147" t="s">
        <v>24</v>
      </c>
      <c r="F147">
        <v>22</v>
      </c>
      <c r="G147">
        <v>39</v>
      </c>
      <c r="H147">
        <v>33</v>
      </c>
      <c r="J147">
        <v>22</v>
      </c>
      <c r="K147">
        <v>4.6904157599999996</v>
      </c>
      <c r="L147">
        <v>22</v>
      </c>
      <c r="M147">
        <v>39</v>
      </c>
      <c r="N147">
        <v>94</v>
      </c>
      <c r="O147">
        <v>31.333333329999999</v>
      </c>
      <c r="P147">
        <v>27.5</v>
      </c>
      <c r="Q147">
        <v>2</v>
      </c>
      <c r="R147">
        <v>5.6</v>
      </c>
      <c r="S147" t="s">
        <v>30</v>
      </c>
      <c r="T147" t="s">
        <v>31</v>
      </c>
      <c r="U147">
        <v>12</v>
      </c>
    </row>
    <row r="148" spans="1:21" x14ac:dyDescent="0.25">
      <c r="A148" t="s">
        <v>34</v>
      </c>
      <c r="B148" t="s">
        <v>21</v>
      </c>
      <c r="C148" t="s">
        <v>50</v>
      </c>
      <c r="D148" t="s">
        <v>23</v>
      </c>
      <c r="E148" t="s">
        <v>24</v>
      </c>
      <c r="F148">
        <v>88</v>
      </c>
      <c r="G148">
        <v>84</v>
      </c>
      <c r="H148">
        <v>75</v>
      </c>
      <c r="J148">
        <v>88</v>
      </c>
      <c r="K148">
        <v>9.3808315199999992</v>
      </c>
      <c r="L148">
        <v>75</v>
      </c>
      <c r="M148">
        <v>88</v>
      </c>
      <c r="N148">
        <v>247</v>
      </c>
      <c r="O148">
        <v>82.333333330000002</v>
      </c>
      <c r="P148">
        <v>86</v>
      </c>
      <c r="Q148">
        <v>4</v>
      </c>
      <c r="R148">
        <v>9.07</v>
      </c>
      <c r="S148" t="s">
        <v>30</v>
      </c>
      <c r="T148" t="s">
        <v>42</v>
      </c>
      <c r="U148">
        <v>16</v>
      </c>
    </row>
    <row r="149" spans="1:21" x14ac:dyDescent="0.25">
      <c r="A149" t="s">
        <v>34</v>
      </c>
      <c r="B149" t="s">
        <v>27</v>
      </c>
      <c r="C149" t="s">
        <v>36</v>
      </c>
      <c r="D149" t="s">
        <v>37</v>
      </c>
      <c r="E149" t="s">
        <v>24</v>
      </c>
      <c r="F149">
        <v>73</v>
      </c>
      <c r="G149">
        <v>68</v>
      </c>
      <c r="H149">
        <v>66</v>
      </c>
      <c r="J149">
        <v>73</v>
      </c>
      <c r="K149">
        <v>8.5440037449999995</v>
      </c>
      <c r="L149">
        <v>66</v>
      </c>
      <c r="M149">
        <v>73</v>
      </c>
      <c r="N149">
        <v>207</v>
      </c>
      <c r="O149">
        <v>69</v>
      </c>
      <c r="P149">
        <v>70.5</v>
      </c>
      <c r="Q149">
        <v>4</v>
      </c>
      <c r="R149">
        <v>8.31</v>
      </c>
      <c r="S149" t="s">
        <v>38</v>
      </c>
      <c r="T149" t="s">
        <v>26</v>
      </c>
      <c r="U149">
        <v>18</v>
      </c>
    </row>
    <row r="150" spans="1:21" x14ac:dyDescent="0.25">
      <c r="A150" t="s">
        <v>20</v>
      </c>
      <c r="B150" t="s">
        <v>39</v>
      </c>
      <c r="C150" t="s">
        <v>22</v>
      </c>
      <c r="D150" t="s">
        <v>23</v>
      </c>
      <c r="E150" t="s">
        <v>29</v>
      </c>
      <c r="F150">
        <v>68</v>
      </c>
      <c r="G150">
        <v>75</v>
      </c>
      <c r="H150">
        <v>81</v>
      </c>
      <c r="J150">
        <v>68</v>
      </c>
      <c r="K150">
        <v>8.2462112510000001</v>
      </c>
      <c r="L150">
        <v>68</v>
      </c>
      <c r="M150">
        <v>81</v>
      </c>
      <c r="N150">
        <v>224</v>
      </c>
      <c r="O150">
        <v>74.666666669999998</v>
      </c>
      <c r="P150">
        <v>71.5</v>
      </c>
      <c r="Q150">
        <v>1</v>
      </c>
      <c r="R150">
        <v>8.64</v>
      </c>
      <c r="S150" t="s">
        <v>25</v>
      </c>
      <c r="T150" t="s">
        <v>26</v>
      </c>
      <c r="U150">
        <v>17</v>
      </c>
    </row>
    <row r="151" spans="1:21" x14ac:dyDescent="0.25">
      <c r="A151" t="s">
        <v>34</v>
      </c>
      <c r="B151" t="s">
        <v>64</v>
      </c>
      <c r="C151" t="s">
        <v>36</v>
      </c>
      <c r="D151" t="s">
        <v>37</v>
      </c>
      <c r="E151" t="s">
        <v>29</v>
      </c>
      <c r="F151">
        <v>100</v>
      </c>
      <c r="G151">
        <v>100</v>
      </c>
      <c r="H151">
        <v>93</v>
      </c>
      <c r="J151">
        <v>100</v>
      </c>
      <c r="K151">
        <v>10</v>
      </c>
      <c r="L151">
        <v>93</v>
      </c>
      <c r="M151">
        <v>100</v>
      </c>
      <c r="N151">
        <v>293</v>
      </c>
      <c r="O151">
        <v>97.666666669999998</v>
      </c>
      <c r="P151">
        <v>100</v>
      </c>
      <c r="Q151">
        <v>4</v>
      </c>
      <c r="R151">
        <v>9.8800000000000008</v>
      </c>
      <c r="S151" t="s">
        <v>38</v>
      </c>
      <c r="T151" t="s">
        <v>26</v>
      </c>
      <c r="U151">
        <v>18</v>
      </c>
    </row>
    <row r="152" spans="1:21" x14ac:dyDescent="0.25">
      <c r="A152" t="s">
        <v>34</v>
      </c>
      <c r="B152" t="s">
        <v>35</v>
      </c>
      <c r="C152" t="s">
        <v>50</v>
      </c>
      <c r="D152" t="s">
        <v>23</v>
      </c>
      <c r="E152" t="s">
        <v>29</v>
      </c>
      <c r="F152">
        <v>62</v>
      </c>
      <c r="G152">
        <v>67</v>
      </c>
      <c r="H152">
        <v>69</v>
      </c>
      <c r="J152">
        <v>62</v>
      </c>
      <c r="K152">
        <v>7.8740078740000001</v>
      </c>
      <c r="L152">
        <v>62</v>
      </c>
      <c r="M152">
        <v>69</v>
      </c>
      <c r="N152">
        <v>198</v>
      </c>
      <c r="O152">
        <v>66</v>
      </c>
      <c r="P152">
        <v>64.5</v>
      </c>
      <c r="Q152">
        <v>1</v>
      </c>
      <c r="R152">
        <v>8.1199999999999992</v>
      </c>
      <c r="S152" t="s">
        <v>30</v>
      </c>
      <c r="T152" t="s">
        <v>42</v>
      </c>
      <c r="U152">
        <v>16</v>
      </c>
    </row>
    <row r="153" spans="1:21" x14ac:dyDescent="0.25">
      <c r="A153" t="s">
        <v>34</v>
      </c>
      <c r="B153" t="s">
        <v>35</v>
      </c>
      <c r="C153" t="s">
        <v>22</v>
      </c>
      <c r="D153" t="s">
        <v>23</v>
      </c>
      <c r="E153" t="s">
        <v>24</v>
      </c>
      <c r="F153">
        <v>77</v>
      </c>
      <c r="G153">
        <v>67</v>
      </c>
      <c r="H153">
        <v>68</v>
      </c>
      <c r="J153">
        <v>77</v>
      </c>
      <c r="K153">
        <v>8.7749643870000007</v>
      </c>
      <c r="L153">
        <v>67</v>
      </c>
      <c r="M153">
        <v>77</v>
      </c>
      <c r="N153">
        <v>212</v>
      </c>
      <c r="O153">
        <v>70.666666669999998</v>
      </c>
      <c r="P153">
        <v>72.5</v>
      </c>
      <c r="Q153">
        <v>3</v>
      </c>
      <c r="R153">
        <v>8.41</v>
      </c>
      <c r="S153" t="s">
        <v>25</v>
      </c>
      <c r="T153" t="s">
        <v>26</v>
      </c>
      <c r="U153">
        <v>17</v>
      </c>
    </row>
    <row r="154" spans="1:21" x14ac:dyDescent="0.25">
      <c r="A154" t="s">
        <v>20</v>
      </c>
      <c r="B154" t="s">
        <v>21</v>
      </c>
      <c r="C154" t="s">
        <v>36</v>
      </c>
      <c r="D154" t="s">
        <v>23</v>
      </c>
      <c r="E154" t="s">
        <v>29</v>
      </c>
      <c r="F154">
        <v>59</v>
      </c>
      <c r="G154">
        <v>70</v>
      </c>
      <c r="H154">
        <v>66</v>
      </c>
      <c r="J154">
        <v>59</v>
      </c>
      <c r="K154">
        <v>7.6811457479999996</v>
      </c>
      <c r="L154">
        <v>59</v>
      </c>
      <c r="M154">
        <v>70</v>
      </c>
      <c r="N154">
        <v>195</v>
      </c>
      <c r="O154">
        <v>65</v>
      </c>
      <c r="P154">
        <v>62.5</v>
      </c>
      <c r="Q154">
        <v>2</v>
      </c>
      <c r="R154">
        <v>8.06</v>
      </c>
      <c r="S154" t="s">
        <v>38</v>
      </c>
      <c r="T154" t="s">
        <v>26</v>
      </c>
      <c r="U154">
        <v>18</v>
      </c>
    </row>
    <row r="155" spans="1:21" x14ac:dyDescent="0.25">
      <c r="A155" t="s">
        <v>34</v>
      </c>
      <c r="B155" t="s">
        <v>39</v>
      </c>
      <c r="C155" t="s">
        <v>22</v>
      </c>
      <c r="D155" t="s">
        <v>23</v>
      </c>
      <c r="E155" t="s">
        <v>24</v>
      </c>
      <c r="F155">
        <v>54</v>
      </c>
      <c r="G155">
        <v>49</v>
      </c>
      <c r="H155">
        <v>47</v>
      </c>
      <c r="J155">
        <v>54</v>
      </c>
      <c r="K155">
        <v>7.3484692279999999</v>
      </c>
      <c r="L155">
        <v>47</v>
      </c>
      <c r="M155">
        <v>54</v>
      </c>
      <c r="N155">
        <v>150</v>
      </c>
      <c r="O155">
        <v>50</v>
      </c>
      <c r="P155">
        <v>51.5</v>
      </c>
      <c r="Q155">
        <v>4</v>
      </c>
      <c r="R155">
        <v>7.07</v>
      </c>
      <c r="S155" t="s">
        <v>25</v>
      </c>
      <c r="T155" t="s">
        <v>26</v>
      </c>
      <c r="U155">
        <v>17</v>
      </c>
    </row>
    <row r="156" spans="1:21" x14ac:dyDescent="0.25">
      <c r="A156" t="s">
        <v>34</v>
      </c>
      <c r="B156" t="s">
        <v>39</v>
      </c>
      <c r="C156" t="s">
        <v>50</v>
      </c>
      <c r="D156" t="s">
        <v>23</v>
      </c>
      <c r="E156" t="s">
        <v>24</v>
      </c>
      <c r="F156">
        <v>62</v>
      </c>
      <c r="G156">
        <v>67</v>
      </c>
      <c r="H156">
        <v>61</v>
      </c>
      <c r="J156">
        <v>62</v>
      </c>
      <c r="K156">
        <v>7.8740078740000001</v>
      </c>
      <c r="L156">
        <v>61</v>
      </c>
      <c r="M156">
        <v>67</v>
      </c>
      <c r="N156">
        <v>190</v>
      </c>
      <c r="O156">
        <v>63.333333330000002</v>
      </c>
      <c r="P156">
        <v>62</v>
      </c>
      <c r="Q156">
        <v>4</v>
      </c>
      <c r="R156">
        <v>7.96</v>
      </c>
      <c r="S156" t="s">
        <v>30</v>
      </c>
      <c r="T156" t="s">
        <v>42</v>
      </c>
      <c r="U156">
        <v>16</v>
      </c>
    </row>
    <row r="157" spans="1:21" x14ac:dyDescent="0.25">
      <c r="A157" t="s">
        <v>20</v>
      </c>
      <c r="B157" t="s">
        <v>27</v>
      </c>
      <c r="C157" t="s">
        <v>28</v>
      </c>
      <c r="D157" t="s">
        <v>23</v>
      </c>
      <c r="E157" t="s">
        <v>29</v>
      </c>
      <c r="F157">
        <v>70</v>
      </c>
      <c r="G157">
        <v>89</v>
      </c>
      <c r="H157">
        <v>88</v>
      </c>
      <c r="J157">
        <v>70</v>
      </c>
      <c r="K157">
        <v>8.3666002650000006</v>
      </c>
      <c r="L157">
        <v>70</v>
      </c>
      <c r="M157">
        <v>89</v>
      </c>
      <c r="N157">
        <v>247</v>
      </c>
      <c r="O157">
        <v>82.333333330000002</v>
      </c>
      <c r="P157">
        <v>79</v>
      </c>
      <c r="Q157">
        <v>2</v>
      </c>
      <c r="R157">
        <v>9.07</v>
      </c>
      <c r="S157" t="s">
        <v>30</v>
      </c>
      <c r="T157" t="s">
        <v>31</v>
      </c>
      <c r="U157">
        <v>12</v>
      </c>
    </row>
    <row r="158" spans="1:21" x14ac:dyDescent="0.25">
      <c r="A158" t="s">
        <v>20</v>
      </c>
      <c r="B158" t="s">
        <v>64</v>
      </c>
      <c r="C158" t="s">
        <v>40</v>
      </c>
      <c r="D158" t="s">
        <v>37</v>
      </c>
      <c r="E158" t="s">
        <v>29</v>
      </c>
      <c r="F158">
        <v>66</v>
      </c>
      <c r="G158">
        <v>74</v>
      </c>
      <c r="H158">
        <v>78</v>
      </c>
      <c r="J158">
        <v>66</v>
      </c>
      <c r="K158">
        <v>8.1240384050000003</v>
      </c>
      <c r="L158">
        <v>66</v>
      </c>
      <c r="M158">
        <v>78</v>
      </c>
      <c r="N158">
        <v>218</v>
      </c>
      <c r="O158">
        <v>72.666666669999998</v>
      </c>
      <c r="P158">
        <v>70</v>
      </c>
      <c r="Q158">
        <v>1</v>
      </c>
      <c r="R158">
        <v>8.52</v>
      </c>
      <c r="S158" t="s">
        <v>41</v>
      </c>
      <c r="T158" t="s">
        <v>42</v>
      </c>
      <c r="U158">
        <v>11</v>
      </c>
    </row>
    <row r="159" spans="1:21" x14ac:dyDescent="0.25">
      <c r="A159" t="s">
        <v>34</v>
      </c>
      <c r="B159" t="s">
        <v>21</v>
      </c>
      <c r="C159" t="s">
        <v>28</v>
      </c>
      <c r="D159" t="s">
        <v>37</v>
      </c>
      <c r="E159" t="s">
        <v>24</v>
      </c>
      <c r="F159">
        <v>60</v>
      </c>
      <c r="G159">
        <v>60</v>
      </c>
      <c r="H159">
        <v>60</v>
      </c>
      <c r="J159">
        <v>60</v>
      </c>
      <c r="K159">
        <v>7.7459666919999997</v>
      </c>
      <c r="L159">
        <v>60</v>
      </c>
      <c r="M159">
        <v>60</v>
      </c>
      <c r="N159">
        <v>180</v>
      </c>
      <c r="O159">
        <v>60</v>
      </c>
      <c r="P159">
        <v>60</v>
      </c>
      <c r="Q159">
        <v>1</v>
      </c>
      <c r="R159">
        <v>7.75</v>
      </c>
      <c r="S159" t="s">
        <v>30</v>
      </c>
      <c r="T159" t="s">
        <v>31</v>
      </c>
      <c r="U159">
        <v>12</v>
      </c>
    </row>
    <row r="160" spans="1:21" x14ac:dyDescent="0.25">
      <c r="A160" t="s">
        <v>20</v>
      </c>
      <c r="B160" t="s">
        <v>21</v>
      </c>
      <c r="C160" t="s">
        <v>36</v>
      </c>
      <c r="D160" t="s">
        <v>23</v>
      </c>
      <c r="E160" t="s">
        <v>29</v>
      </c>
      <c r="F160">
        <v>61</v>
      </c>
      <c r="G160">
        <v>86</v>
      </c>
      <c r="H160">
        <v>87</v>
      </c>
      <c r="J160">
        <v>61</v>
      </c>
      <c r="K160">
        <v>7.8102496759999998</v>
      </c>
      <c r="L160">
        <v>61</v>
      </c>
      <c r="M160">
        <v>87</v>
      </c>
      <c r="N160">
        <v>234</v>
      </c>
      <c r="O160">
        <v>78</v>
      </c>
      <c r="P160">
        <v>73.5</v>
      </c>
      <c r="Q160">
        <v>1</v>
      </c>
      <c r="R160">
        <v>8.83</v>
      </c>
      <c r="S160" t="s">
        <v>38</v>
      </c>
      <c r="T160" t="s">
        <v>26</v>
      </c>
      <c r="U160">
        <v>18</v>
      </c>
    </row>
    <row r="161" spans="1:21" x14ac:dyDescent="0.25">
      <c r="A161" t="s">
        <v>34</v>
      </c>
      <c r="B161" t="s">
        <v>39</v>
      </c>
      <c r="C161" t="s">
        <v>36</v>
      </c>
      <c r="D161" t="s">
        <v>37</v>
      </c>
      <c r="E161" t="s">
        <v>24</v>
      </c>
      <c r="F161">
        <v>66</v>
      </c>
      <c r="G161">
        <v>62</v>
      </c>
      <c r="H161">
        <v>64</v>
      </c>
      <c r="J161">
        <v>66</v>
      </c>
      <c r="K161">
        <v>8.1240384050000003</v>
      </c>
      <c r="L161">
        <v>62</v>
      </c>
      <c r="M161">
        <v>66</v>
      </c>
      <c r="N161">
        <v>192</v>
      </c>
      <c r="O161">
        <v>64</v>
      </c>
      <c r="P161">
        <v>65</v>
      </c>
      <c r="Q161">
        <v>3</v>
      </c>
      <c r="R161">
        <v>8</v>
      </c>
      <c r="S161" t="s">
        <v>38</v>
      </c>
      <c r="T161" t="s">
        <v>26</v>
      </c>
      <c r="U161">
        <v>18</v>
      </c>
    </row>
    <row r="162" spans="1:21" x14ac:dyDescent="0.25">
      <c r="A162" t="s">
        <v>34</v>
      </c>
      <c r="B162" t="s">
        <v>21</v>
      </c>
      <c r="C162" t="s">
        <v>36</v>
      </c>
      <c r="D162" t="s">
        <v>37</v>
      </c>
      <c r="E162" t="s">
        <v>29</v>
      </c>
      <c r="F162">
        <v>82</v>
      </c>
      <c r="G162">
        <v>78</v>
      </c>
      <c r="H162">
        <v>74</v>
      </c>
      <c r="J162">
        <v>82</v>
      </c>
      <c r="K162">
        <v>9.0553851380000001</v>
      </c>
      <c r="L162">
        <v>74</v>
      </c>
      <c r="M162">
        <v>82</v>
      </c>
      <c r="N162">
        <v>234</v>
      </c>
      <c r="O162">
        <v>78</v>
      </c>
      <c r="P162">
        <v>80</v>
      </c>
      <c r="Q162">
        <v>4</v>
      </c>
      <c r="R162">
        <v>8.83</v>
      </c>
      <c r="S162" t="s">
        <v>38</v>
      </c>
      <c r="T162" t="s">
        <v>26</v>
      </c>
      <c r="U162">
        <v>18</v>
      </c>
    </row>
    <row r="163" spans="1:21" x14ac:dyDescent="0.25">
      <c r="A163" t="s">
        <v>20</v>
      </c>
      <c r="B163" t="s">
        <v>64</v>
      </c>
      <c r="C163" t="s">
        <v>28</v>
      </c>
      <c r="D163" t="s">
        <v>37</v>
      </c>
      <c r="E163" t="s">
        <v>29</v>
      </c>
      <c r="F163">
        <v>75</v>
      </c>
      <c r="G163">
        <v>88</v>
      </c>
      <c r="H163">
        <v>85</v>
      </c>
      <c r="J163">
        <v>75</v>
      </c>
      <c r="K163">
        <v>8.6602540379999997</v>
      </c>
      <c r="L163">
        <v>75</v>
      </c>
      <c r="M163">
        <v>88</v>
      </c>
      <c r="N163">
        <v>248</v>
      </c>
      <c r="O163">
        <v>82.666666669999998</v>
      </c>
      <c r="P163">
        <v>80</v>
      </c>
      <c r="Q163">
        <v>2</v>
      </c>
      <c r="R163">
        <v>9.09</v>
      </c>
      <c r="S163" t="s">
        <v>30</v>
      </c>
      <c r="T163" t="s">
        <v>31</v>
      </c>
      <c r="U163">
        <v>12</v>
      </c>
    </row>
    <row r="164" spans="1:21" x14ac:dyDescent="0.25">
      <c r="A164" t="s">
        <v>34</v>
      </c>
      <c r="B164" t="s">
        <v>21</v>
      </c>
      <c r="C164" t="s">
        <v>32</v>
      </c>
      <c r="D164" t="s">
        <v>37</v>
      </c>
      <c r="E164" t="s">
        <v>24</v>
      </c>
      <c r="F164">
        <v>49</v>
      </c>
      <c r="G164">
        <v>53</v>
      </c>
      <c r="H164">
        <v>52</v>
      </c>
      <c r="J164">
        <v>49</v>
      </c>
      <c r="K164">
        <v>7</v>
      </c>
      <c r="L164">
        <v>49</v>
      </c>
      <c r="M164">
        <v>53</v>
      </c>
      <c r="N164">
        <v>154</v>
      </c>
      <c r="O164">
        <v>51.333333330000002</v>
      </c>
      <c r="P164">
        <v>50.5</v>
      </c>
      <c r="Q164">
        <v>2</v>
      </c>
      <c r="R164">
        <v>7.16</v>
      </c>
      <c r="S164" t="s">
        <v>33</v>
      </c>
      <c r="T164" t="s">
        <v>26</v>
      </c>
      <c r="U164">
        <v>15</v>
      </c>
    </row>
    <row r="165" spans="1:21" x14ac:dyDescent="0.25">
      <c r="A165" t="s">
        <v>34</v>
      </c>
      <c r="B165" t="s">
        <v>27</v>
      </c>
      <c r="C165" t="s">
        <v>40</v>
      </c>
      <c r="D165" t="s">
        <v>23</v>
      </c>
      <c r="E165" t="s">
        <v>24</v>
      </c>
      <c r="F165">
        <v>52</v>
      </c>
      <c r="G165">
        <v>53</v>
      </c>
      <c r="H165">
        <v>49</v>
      </c>
      <c r="J165">
        <v>52</v>
      </c>
      <c r="K165">
        <v>7.2111025509999997</v>
      </c>
      <c r="L165">
        <v>49</v>
      </c>
      <c r="M165">
        <v>53</v>
      </c>
      <c r="N165">
        <v>154</v>
      </c>
      <c r="O165">
        <v>51.333333330000002</v>
      </c>
      <c r="P165">
        <v>52</v>
      </c>
      <c r="Q165">
        <v>4</v>
      </c>
      <c r="R165">
        <v>7.16</v>
      </c>
      <c r="S165" t="s">
        <v>41</v>
      </c>
      <c r="T165" t="s">
        <v>42</v>
      </c>
      <c r="U165">
        <v>11</v>
      </c>
    </row>
    <row r="166" spans="1:21" x14ac:dyDescent="0.25">
      <c r="A166" t="s">
        <v>20</v>
      </c>
      <c r="B166" t="s">
        <v>64</v>
      </c>
      <c r="C166" t="s">
        <v>32</v>
      </c>
      <c r="D166" t="s">
        <v>23</v>
      </c>
      <c r="E166" t="s">
        <v>24</v>
      </c>
      <c r="F166">
        <v>81</v>
      </c>
      <c r="G166">
        <v>92</v>
      </c>
      <c r="H166">
        <v>91</v>
      </c>
      <c r="J166">
        <v>81</v>
      </c>
      <c r="K166">
        <v>9</v>
      </c>
      <c r="L166">
        <v>81</v>
      </c>
      <c r="M166">
        <v>92</v>
      </c>
      <c r="N166">
        <v>264</v>
      </c>
      <c r="O166">
        <v>88</v>
      </c>
      <c r="P166">
        <v>86</v>
      </c>
      <c r="Q166">
        <v>2</v>
      </c>
      <c r="R166">
        <v>9.3800000000000008</v>
      </c>
      <c r="S166" t="s">
        <v>33</v>
      </c>
      <c r="T166" t="s">
        <v>26</v>
      </c>
      <c r="U166">
        <v>15</v>
      </c>
    </row>
    <row r="167" spans="1:21" x14ac:dyDescent="0.25">
      <c r="A167" t="s">
        <v>20</v>
      </c>
      <c r="B167" t="s">
        <v>27</v>
      </c>
      <c r="C167" t="s">
        <v>22</v>
      </c>
      <c r="D167" t="s">
        <v>23</v>
      </c>
      <c r="E167" t="s">
        <v>29</v>
      </c>
      <c r="F167">
        <v>96</v>
      </c>
      <c r="G167">
        <v>100</v>
      </c>
      <c r="H167">
        <v>100</v>
      </c>
      <c r="J167">
        <v>96</v>
      </c>
      <c r="K167">
        <v>9.7979589709999999</v>
      </c>
      <c r="L167">
        <v>96</v>
      </c>
      <c r="M167">
        <v>100</v>
      </c>
      <c r="N167">
        <v>296</v>
      </c>
      <c r="O167">
        <v>98.666666669999998</v>
      </c>
      <c r="P167">
        <v>98</v>
      </c>
      <c r="Q167">
        <v>1</v>
      </c>
      <c r="R167">
        <v>9.93</v>
      </c>
      <c r="S167" t="s">
        <v>25</v>
      </c>
      <c r="T167" t="s">
        <v>26</v>
      </c>
      <c r="U167">
        <v>17</v>
      </c>
    </row>
    <row r="168" spans="1:21" x14ac:dyDescent="0.25">
      <c r="A168" t="s">
        <v>34</v>
      </c>
      <c r="B168" t="s">
        <v>27</v>
      </c>
      <c r="C168" t="s">
        <v>40</v>
      </c>
      <c r="D168" t="s">
        <v>37</v>
      </c>
      <c r="E168" t="s">
        <v>29</v>
      </c>
      <c r="F168">
        <v>53</v>
      </c>
      <c r="G168">
        <v>51</v>
      </c>
      <c r="H168">
        <v>51</v>
      </c>
      <c r="J168">
        <v>53</v>
      </c>
      <c r="K168">
        <v>7.2801098890000002</v>
      </c>
      <c r="L168">
        <v>51</v>
      </c>
      <c r="M168">
        <v>53</v>
      </c>
      <c r="N168">
        <v>155</v>
      </c>
      <c r="O168">
        <v>51.666666669999998</v>
      </c>
      <c r="P168">
        <v>52</v>
      </c>
      <c r="Q168">
        <v>3</v>
      </c>
      <c r="R168">
        <v>7.19</v>
      </c>
      <c r="S168" t="s">
        <v>41</v>
      </c>
      <c r="T168" t="s">
        <v>42</v>
      </c>
      <c r="U168">
        <v>11</v>
      </c>
    </row>
    <row r="169" spans="1:21" x14ac:dyDescent="0.25">
      <c r="A169" t="s">
        <v>20</v>
      </c>
      <c r="B169" t="s">
        <v>21</v>
      </c>
      <c r="C169" t="s">
        <v>32</v>
      </c>
      <c r="D169" t="s">
        <v>37</v>
      </c>
      <c r="E169" t="s">
        <v>29</v>
      </c>
      <c r="F169">
        <v>58</v>
      </c>
      <c r="G169">
        <v>76</v>
      </c>
      <c r="H169">
        <v>78</v>
      </c>
      <c r="J169">
        <v>58</v>
      </c>
      <c r="K169">
        <v>7.6157731059999998</v>
      </c>
      <c r="L169">
        <v>58</v>
      </c>
      <c r="M169">
        <v>78</v>
      </c>
      <c r="N169">
        <v>212</v>
      </c>
      <c r="O169">
        <v>70.666666669999998</v>
      </c>
      <c r="P169">
        <v>67</v>
      </c>
      <c r="Q169">
        <v>1</v>
      </c>
      <c r="R169">
        <v>8.41</v>
      </c>
      <c r="S169" t="s">
        <v>33</v>
      </c>
      <c r="T169" t="s">
        <v>26</v>
      </c>
      <c r="U169">
        <v>15</v>
      </c>
    </row>
    <row r="170" spans="1:21" x14ac:dyDescent="0.25">
      <c r="A170" t="s">
        <v>20</v>
      </c>
      <c r="B170" t="s">
        <v>21</v>
      </c>
      <c r="C170" t="s">
        <v>40</v>
      </c>
      <c r="D170" t="s">
        <v>23</v>
      </c>
      <c r="E170" t="s">
        <v>29</v>
      </c>
      <c r="F170">
        <v>68</v>
      </c>
      <c r="G170">
        <v>83</v>
      </c>
      <c r="H170">
        <v>78</v>
      </c>
      <c r="J170">
        <v>68</v>
      </c>
      <c r="K170">
        <v>8.2462112510000001</v>
      </c>
      <c r="L170">
        <v>68</v>
      </c>
      <c r="M170">
        <v>83</v>
      </c>
      <c r="N170">
        <v>229</v>
      </c>
      <c r="O170">
        <v>76.333333330000002</v>
      </c>
      <c r="P170">
        <v>73</v>
      </c>
      <c r="Q170">
        <v>2</v>
      </c>
      <c r="R170">
        <v>8.74</v>
      </c>
      <c r="S170" t="s">
        <v>41</v>
      </c>
      <c r="T170" t="s">
        <v>42</v>
      </c>
      <c r="U170">
        <v>11</v>
      </c>
    </row>
    <row r="171" spans="1:21" x14ac:dyDescent="0.25">
      <c r="A171" t="s">
        <v>20</v>
      </c>
      <c r="B171" t="s">
        <v>27</v>
      </c>
      <c r="C171" t="s">
        <v>28</v>
      </c>
      <c r="D171" t="s">
        <v>37</v>
      </c>
      <c r="E171" t="s">
        <v>29</v>
      </c>
      <c r="F171">
        <v>67</v>
      </c>
      <c r="G171">
        <v>75</v>
      </c>
      <c r="H171">
        <v>70</v>
      </c>
      <c r="J171">
        <v>67</v>
      </c>
      <c r="K171">
        <v>8.1853527719999999</v>
      </c>
      <c r="L171">
        <v>67</v>
      </c>
      <c r="M171">
        <v>75</v>
      </c>
      <c r="N171">
        <v>212</v>
      </c>
      <c r="O171">
        <v>70.666666669999998</v>
      </c>
      <c r="P171">
        <v>68.5</v>
      </c>
      <c r="Q171">
        <v>2</v>
      </c>
      <c r="R171">
        <v>8.41</v>
      </c>
      <c r="S171" t="s">
        <v>30</v>
      </c>
      <c r="T171" t="s">
        <v>31</v>
      </c>
      <c r="U171">
        <v>12</v>
      </c>
    </row>
    <row r="172" spans="1:21" x14ac:dyDescent="0.25">
      <c r="A172" t="s">
        <v>34</v>
      </c>
      <c r="B172" t="s">
        <v>35</v>
      </c>
      <c r="C172" t="s">
        <v>40</v>
      </c>
      <c r="D172" t="s">
        <v>23</v>
      </c>
      <c r="E172" t="s">
        <v>29</v>
      </c>
      <c r="F172">
        <v>72</v>
      </c>
      <c r="G172">
        <v>73</v>
      </c>
      <c r="H172">
        <v>74</v>
      </c>
      <c r="J172">
        <v>72</v>
      </c>
      <c r="K172">
        <v>8.4852813739999995</v>
      </c>
      <c r="L172">
        <v>72</v>
      </c>
      <c r="M172">
        <v>74</v>
      </c>
      <c r="N172">
        <v>219</v>
      </c>
      <c r="O172">
        <v>73</v>
      </c>
      <c r="P172">
        <v>72.5</v>
      </c>
      <c r="Q172">
        <v>1</v>
      </c>
      <c r="R172">
        <v>8.5399999999999991</v>
      </c>
      <c r="S172" t="s">
        <v>41</v>
      </c>
      <c r="T172" t="s">
        <v>42</v>
      </c>
      <c r="U172">
        <v>11</v>
      </c>
    </row>
    <row r="173" spans="1:21" x14ac:dyDescent="0.25">
      <c r="A173" t="s">
        <v>34</v>
      </c>
      <c r="B173" t="s">
        <v>64</v>
      </c>
      <c r="C173" t="s">
        <v>50</v>
      </c>
      <c r="D173" t="s">
        <v>23</v>
      </c>
      <c r="E173" t="s">
        <v>24</v>
      </c>
      <c r="F173">
        <v>94</v>
      </c>
      <c r="G173">
        <v>88</v>
      </c>
      <c r="H173">
        <v>78</v>
      </c>
      <c r="J173">
        <v>94</v>
      </c>
      <c r="K173">
        <v>9.6953597150000004</v>
      </c>
      <c r="L173">
        <v>78</v>
      </c>
      <c r="M173">
        <v>94</v>
      </c>
      <c r="N173">
        <v>260</v>
      </c>
      <c r="O173">
        <v>86.666666669999998</v>
      </c>
      <c r="P173">
        <v>91</v>
      </c>
      <c r="Q173">
        <v>4</v>
      </c>
      <c r="R173">
        <v>9.31</v>
      </c>
      <c r="S173" t="s">
        <v>30</v>
      </c>
      <c r="T173" t="s">
        <v>42</v>
      </c>
      <c r="U173">
        <v>16</v>
      </c>
    </row>
    <row r="174" spans="1:21" x14ac:dyDescent="0.25">
      <c r="A174" t="s">
        <v>20</v>
      </c>
      <c r="B174" t="s">
        <v>39</v>
      </c>
      <c r="C174" t="s">
        <v>28</v>
      </c>
      <c r="D174" t="s">
        <v>23</v>
      </c>
      <c r="E174" t="s">
        <v>24</v>
      </c>
      <c r="F174">
        <v>79</v>
      </c>
      <c r="G174">
        <v>86</v>
      </c>
      <c r="H174">
        <v>81</v>
      </c>
      <c r="J174">
        <v>79</v>
      </c>
      <c r="K174">
        <v>8.8881944169999993</v>
      </c>
      <c r="L174">
        <v>79</v>
      </c>
      <c r="M174">
        <v>86</v>
      </c>
      <c r="N174">
        <v>246</v>
      </c>
      <c r="O174">
        <v>82</v>
      </c>
      <c r="P174">
        <v>80</v>
      </c>
      <c r="Q174">
        <v>2</v>
      </c>
      <c r="R174">
        <v>9.06</v>
      </c>
      <c r="S174" t="s">
        <v>30</v>
      </c>
      <c r="T174" t="s">
        <v>31</v>
      </c>
      <c r="U174">
        <v>12</v>
      </c>
    </row>
    <row r="175" spans="1:21" x14ac:dyDescent="0.25">
      <c r="A175" t="s">
        <v>20</v>
      </c>
      <c r="B175" t="s">
        <v>27</v>
      </c>
      <c r="C175" t="s">
        <v>36</v>
      </c>
      <c r="D175" t="s">
        <v>23</v>
      </c>
      <c r="E175" t="s">
        <v>24</v>
      </c>
      <c r="F175">
        <v>63</v>
      </c>
      <c r="G175">
        <v>67</v>
      </c>
      <c r="H175">
        <v>70</v>
      </c>
      <c r="J175">
        <v>63</v>
      </c>
      <c r="K175">
        <v>7.937253933</v>
      </c>
      <c r="L175">
        <v>63</v>
      </c>
      <c r="M175">
        <v>70</v>
      </c>
      <c r="N175">
        <v>200</v>
      </c>
      <c r="O175">
        <v>66.666666669999998</v>
      </c>
      <c r="P175">
        <v>65</v>
      </c>
      <c r="Q175">
        <v>1</v>
      </c>
      <c r="R175">
        <v>8.16</v>
      </c>
      <c r="S175" t="s">
        <v>38</v>
      </c>
      <c r="T175" t="s">
        <v>26</v>
      </c>
      <c r="U175">
        <v>18</v>
      </c>
    </row>
    <row r="176" spans="1:21" x14ac:dyDescent="0.25">
      <c r="A176" t="s">
        <v>20</v>
      </c>
      <c r="B176" t="s">
        <v>27</v>
      </c>
      <c r="C176" t="s">
        <v>22</v>
      </c>
      <c r="D176" t="s">
        <v>37</v>
      </c>
      <c r="E176" t="s">
        <v>29</v>
      </c>
      <c r="F176">
        <v>43</v>
      </c>
      <c r="G176">
        <v>51</v>
      </c>
      <c r="H176">
        <v>54</v>
      </c>
      <c r="J176">
        <v>43</v>
      </c>
      <c r="K176">
        <v>6.5574385240000002</v>
      </c>
      <c r="L176">
        <v>43</v>
      </c>
      <c r="M176">
        <v>54</v>
      </c>
      <c r="N176">
        <v>148</v>
      </c>
      <c r="O176">
        <v>49.333333330000002</v>
      </c>
      <c r="P176">
        <v>47</v>
      </c>
      <c r="Q176">
        <v>1</v>
      </c>
      <c r="R176">
        <v>7.02</v>
      </c>
      <c r="S176" t="s">
        <v>25</v>
      </c>
      <c r="T176" t="s">
        <v>26</v>
      </c>
      <c r="U176">
        <v>17</v>
      </c>
    </row>
    <row r="177" spans="1:21" x14ac:dyDescent="0.25">
      <c r="A177" t="s">
        <v>20</v>
      </c>
      <c r="B177" t="s">
        <v>27</v>
      </c>
      <c r="C177" t="s">
        <v>32</v>
      </c>
      <c r="D177" t="s">
        <v>23</v>
      </c>
      <c r="E177" t="s">
        <v>29</v>
      </c>
      <c r="F177">
        <v>81</v>
      </c>
      <c r="G177">
        <v>91</v>
      </c>
      <c r="H177">
        <v>87</v>
      </c>
      <c r="J177">
        <v>81</v>
      </c>
      <c r="K177">
        <v>9</v>
      </c>
      <c r="L177">
        <v>81</v>
      </c>
      <c r="M177">
        <v>91</v>
      </c>
      <c r="N177">
        <v>259</v>
      </c>
      <c r="O177">
        <v>86.333333330000002</v>
      </c>
      <c r="P177">
        <v>84</v>
      </c>
      <c r="Q177">
        <v>2</v>
      </c>
      <c r="R177">
        <v>9.2899999999999991</v>
      </c>
      <c r="S177" t="s">
        <v>33</v>
      </c>
      <c r="T177" t="s">
        <v>26</v>
      </c>
      <c r="U177">
        <v>15</v>
      </c>
    </row>
    <row r="178" spans="1:21" x14ac:dyDescent="0.25">
      <c r="A178" t="s">
        <v>20</v>
      </c>
      <c r="B178" t="s">
        <v>21</v>
      </c>
      <c r="C178" t="s">
        <v>40</v>
      </c>
      <c r="D178" t="s">
        <v>37</v>
      </c>
      <c r="E178" t="s">
        <v>29</v>
      </c>
      <c r="F178">
        <v>46</v>
      </c>
      <c r="G178">
        <v>54</v>
      </c>
      <c r="H178">
        <v>58</v>
      </c>
      <c r="J178">
        <v>46</v>
      </c>
      <c r="K178">
        <v>6.7823299830000003</v>
      </c>
      <c r="L178">
        <v>46</v>
      </c>
      <c r="M178">
        <v>58</v>
      </c>
      <c r="N178">
        <v>158</v>
      </c>
      <c r="O178">
        <v>52.666666669999998</v>
      </c>
      <c r="P178">
        <v>50</v>
      </c>
      <c r="Q178">
        <v>1</v>
      </c>
      <c r="R178">
        <v>7.26</v>
      </c>
      <c r="S178" t="s">
        <v>41</v>
      </c>
      <c r="T178" t="s">
        <v>42</v>
      </c>
      <c r="U178">
        <v>11</v>
      </c>
    </row>
    <row r="179" spans="1:21" x14ac:dyDescent="0.25">
      <c r="A179" t="s">
        <v>20</v>
      </c>
      <c r="B179" t="s">
        <v>27</v>
      </c>
      <c r="C179" t="s">
        <v>36</v>
      </c>
      <c r="D179" t="s">
        <v>23</v>
      </c>
      <c r="E179" t="s">
        <v>29</v>
      </c>
      <c r="F179">
        <v>71</v>
      </c>
      <c r="G179">
        <v>77</v>
      </c>
      <c r="H179">
        <v>77</v>
      </c>
      <c r="J179">
        <v>71</v>
      </c>
      <c r="K179">
        <v>8.4261497730000006</v>
      </c>
      <c r="L179">
        <v>71</v>
      </c>
      <c r="M179">
        <v>77</v>
      </c>
      <c r="N179">
        <v>225</v>
      </c>
      <c r="O179">
        <v>75</v>
      </c>
      <c r="P179">
        <v>74</v>
      </c>
      <c r="Q179">
        <v>1</v>
      </c>
      <c r="R179">
        <v>8.66</v>
      </c>
      <c r="S179" t="s">
        <v>38</v>
      </c>
      <c r="T179" t="s">
        <v>26</v>
      </c>
      <c r="U179">
        <v>18</v>
      </c>
    </row>
    <row r="180" spans="1:21" x14ac:dyDescent="0.25">
      <c r="A180" t="s">
        <v>20</v>
      </c>
      <c r="B180" t="s">
        <v>21</v>
      </c>
      <c r="C180" t="s">
        <v>32</v>
      </c>
      <c r="D180" t="s">
        <v>37</v>
      </c>
      <c r="E180" t="s">
        <v>29</v>
      </c>
      <c r="F180">
        <v>52</v>
      </c>
      <c r="G180">
        <v>70</v>
      </c>
      <c r="H180">
        <v>62</v>
      </c>
      <c r="J180">
        <v>52</v>
      </c>
      <c r="K180">
        <v>7.2111025509999997</v>
      </c>
      <c r="L180">
        <v>52</v>
      </c>
      <c r="M180">
        <v>70</v>
      </c>
      <c r="N180">
        <v>184</v>
      </c>
      <c r="O180">
        <v>61.333333330000002</v>
      </c>
      <c r="P180">
        <v>57</v>
      </c>
      <c r="Q180">
        <v>2</v>
      </c>
      <c r="R180">
        <v>7.83</v>
      </c>
      <c r="S180" t="s">
        <v>33</v>
      </c>
      <c r="T180" t="s">
        <v>26</v>
      </c>
      <c r="U180">
        <v>15</v>
      </c>
    </row>
    <row r="181" spans="1:21" x14ac:dyDescent="0.25">
      <c r="A181" t="s">
        <v>20</v>
      </c>
      <c r="B181" t="s">
        <v>39</v>
      </c>
      <c r="C181" t="s">
        <v>50</v>
      </c>
      <c r="D181" t="s">
        <v>23</v>
      </c>
      <c r="E181" t="s">
        <v>29</v>
      </c>
      <c r="F181">
        <v>97</v>
      </c>
      <c r="G181">
        <v>100</v>
      </c>
      <c r="H181">
        <v>100</v>
      </c>
      <c r="J181">
        <v>97</v>
      </c>
      <c r="K181">
        <v>9.8488578019999995</v>
      </c>
      <c r="L181">
        <v>97</v>
      </c>
      <c r="M181">
        <v>100</v>
      </c>
      <c r="N181">
        <v>297</v>
      </c>
      <c r="O181">
        <v>99</v>
      </c>
      <c r="P181">
        <v>98.5</v>
      </c>
      <c r="Q181">
        <v>1</v>
      </c>
      <c r="R181">
        <v>9.9499999999999993</v>
      </c>
      <c r="S181" t="s">
        <v>30</v>
      </c>
      <c r="T181" t="s">
        <v>42</v>
      </c>
      <c r="U181">
        <v>16</v>
      </c>
    </row>
    <row r="182" spans="1:21" x14ac:dyDescent="0.25">
      <c r="A182" t="s">
        <v>34</v>
      </c>
      <c r="B182" t="s">
        <v>27</v>
      </c>
      <c r="C182" t="s">
        <v>32</v>
      </c>
      <c r="D182" t="s">
        <v>37</v>
      </c>
      <c r="E182" t="s">
        <v>29</v>
      </c>
      <c r="F182">
        <v>62</v>
      </c>
      <c r="G182">
        <v>68</v>
      </c>
      <c r="H182">
        <v>75</v>
      </c>
      <c r="J182">
        <v>62</v>
      </c>
      <c r="K182">
        <v>7.8740078740000001</v>
      </c>
      <c r="L182">
        <v>62</v>
      </c>
      <c r="M182">
        <v>75</v>
      </c>
      <c r="N182">
        <v>205</v>
      </c>
      <c r="O182">
        <v>68.333333330000002</v>
      </c>
      <c r="P182">
        <v>65</v>
      </c>
      <c r="Q182">
        <v>1</v>
      </c>
      <c r="R182">
        <v>8.27</v>
      </c>
      <c r="S182" t="s">
        <v>33</v>
      </c>
      <c r="T182" t="s">
        <v>26</v>
      </c>
      <c r="U182">
        <v>15</v>
      </c>
    </row>
    <row r="183" spans="1:21" x14ac:dyDescent="0.25">
      <c r="A183" t="s">
        <v>20</v>
      </c>
      <c r="B183" t="s">
        <v>27</v>
      </c>
      <c r="C183" t="s">
        <v>28</v>
      </c>
      <c r="D183" t="s">
        <v>37</v>
      </c>
      <c r="E183" t="s">
        <v>24</v>
      </c>
      <c r="F183">
        <v>46</v>
      </c>
      <c r="G183">
        <v>64</v>
      </c>
      <c r="H183">
        <v>66</v>
      </c>
      <c r="J183">
        <v>46</v>
      </c>
      <c r="K183">
        <v>6.7823299830000003</v>
      </c>
      <c r="L183">
        <v>46</v>
      </c>
      <c r="M183">
        <v>66</v>
      </c>
      <c r="N183">
        <v>176</v>
      </c>
      <c r="O183">
        <v>58.666666669999998</v>
      </c>
      <c r="P183">
        <v>55</v>
      </c>
      <c r="Q183">
        <v>1</v>
      </c>
      <c r="R183">
        <v>7.66</v>
      </c>
      <c r="S183" t="s">
        <v>30</v>
      </c>
      <c r="T183" t="s">
        <v>31</v>
      </c>
      <c r="U183">
        <v>12</v>
      </c>
    </row>
    <row r="184" spans="1:21" x14ac:dyDescent="0.25">
      <c r="A184" t="s">
        <v>20</v>
      </c>
      <c r="B184" t="s">
        <v>64</v>
      </c>
      <c r="C184" t="s">
        <v>40</v>
      </c>
      <c r="D184" t="s">
        <v>23</v>
      </c>
      <c r="E184" t="s">
        <v>24</v>
      </c>
      <c r="F184">
        <v>50</v>
      </c>
      <c r="G184">
        <v>50</v>
      </c>
      <c r="H184">
        <v>47</v>
      </c>
      <c r="J184">
        <v>50</v>
      </c>
      <c r="K184">
        <v>7.0710678119999999</v>
      </c>
      <c r="L184">
        <v>47</v>
      </c>
      <c r="M184">
        <v>50</v>
      </c>
      <c r="N184">
        <v>147</v>
      </c>
      <c r="O184">
        <v>49</v>
      </c>
      <c r="P184">
        <v>50</v>
      </c>
      <c r="Q184">
        <v>4</v>
      </c>
      <c r="R184">
        <v>7</v>
      </c>
      <c r="S184" t="s">
        <v>41</v>
      </c>
      <c r="T184" t="s">
        <v>42</v>
      </c>
      <c r="U184">
        <v>11</v>
      </c>
    </row>
    <row r="185" spans="1:21" x14ac:dyDescent="0.25">
      <c r="A185" t="s">
        <v>20</v>
      </c>
      <c r="B185" t="s">
        <v>39</v>
      </c>
      <c r="C185" t="s">
        <v>36</v>
      </c>
      <c r="D185" t="s">
        <v>23</v>
      </c>
      <c r="E185" t="s">
        <v>24</v>
      </c>
      <c r="F185">
        <v>65</v>
      </c>
      <c r="G185">
        <v>69</v>
      </c>
      <c r="H185">
        <v>70</v>
      </c>
      <c r="J185">
        <v>65</v>
      </c>
      <c r="K185">
        <v>8.0622577480000004</v>
      </c>
      <c r="L185">
        <v>65</v>
      </c>
      <c r="M185">
        <v>70</v>
      </c>
      <c r="N185">
        <v>204</v>
      </c>
      <c r="O185">
        <v>68</v>
      </c>
      <c r="P185">
        <v>67</v>
      </c>
      <c r="Q185">
        <v>1</v>
      </c>
      <c r="R185">
        <v>8.25</v>
      </c>
      <c r="S185" t="s">
        <v>38</v>
      </c>
      <c r="T185" t="s">
        <v>26</v>
      </c>
      <c r="U185">
        <v>18</v>
      </c>
    </row>
    <row r="186" spans="1:21" x14ac:dyDescent="0.25">
      <c r="A186" t="s">
        <v>34</v>
      </c>
      <c r="B186" t="s">
        <v>27</v>
      </c>
      <c r="C186" t="s">
        <v>50</v>
      </c>
      <c r="D186" t="s">
        <v>37</v>
      </c>
      <c r="E186" t="s">
        <v>29</v>
      </c>
      <c r="F186">
        <v>45</v>
      </c>
      <c r="G186">
        <v>52</v>
      </c>
      <c r="H186">
        <v>49</v>
      </c>
      <c r="J186">
        <v>45</v>
      </c>
      <c r="K186">
        <v>6.708203932</v>
      </c>
      <c r="L186">
        <v>45</v>
      </c>
      <c r="M186">
        <v>52</v>
      </c>
      <c r="N186">
        <v>146</v>
      </c>
      <c r="O186">
        <v>48.666666669999998</v>
      </c>
      <c r="P186">
        <v>47</v>
      </c>
      <c r="Q186">
        <v>2</v>
      </c>
      <c r="R186">
        <v>6.98</v>
      </c>
      <c r="S186" t="s">
        <v>30</v>
      </c>
      <c r="T186" t="s">
        <v>42</v>
      </c>
      <c r="U186">
        <v>16</v>
      </c>
    </row>
    <row r="187" spans="1:21" x14ac:dyDescent="0.25">
      <c r="A187" t="s">
        <v>34</v>
      </c>
      <c r="B187" t="s">
        <v>27</v>
      </c>
      <c r="C187" t="s">
        <v>36</v>
      </c>
      <c r="D187" t="s">
        <v>37</v>
      </c>
      <c r="E187" t="s">
        <v>29</v>
      </c>
      <c r="F187">
        <v>65</v>
      </c>
      <c r="G187">
        <v>67</v>
      </c>
      <c r="H187">
        <v>65</v>
      </c>
      <c r="J187">
        <v>65</v>
      </c>
      <c r="K187">
        <v>8.0622577480000004</v>
      </c>
      <c r="L187">
        <v>65</v>
      </c>
      <c r="M187">
        <v>67</v>
      </c>
      <c r="N187">
        <v>197</v>
      </c>
      <c r="O187">
        <v>65.666666669999998</v>
      </c>
      <c r="P187">
        <v>65</v>
      </c>
      <c r="Q187">
        <v>2</v>
      </c>
      <c r="R187">
        <v>8.1</v>
      </c>
      <c r="S187" t="s">
        <v>38</v>
      </c>
      <c r="T187" t="s">
        <v>26</v>
      </c>
      <c r="U187">
        <v>18</v>
      </c>
    </row>
    <row r="188" spans="1:21" x14ac:dyDescent="0.25">
      <c r="A188" t="s">
        <v>34</v>
      </c>
      <c r="B188" t="s">
        <v>64</v>
      </c>
      <c r="C188" t="s">
        <v>40</v>
      </c>
      <c r="D188" t="s">
        <v>23</v>
      </c>
      <c r="E188" t="s">
        <v>24</v>
      </c>
      <c r="F188">
        <v>80</v>
      </c>
      <c r="G188">
        <v>76</v>
      </c>
      <c r="H188">
        <v>65</v>
      </c>
      <c r="J188">
        <v>80</v>
      </c>
      <c r="K188">
        <v>8.9442719099999994</v>
      </c>
      <c r="L188">
        <v>65</v>
      </c>
      <c r="M188">
        <v>80</v>
      </c>
      <c r="N188">
        <v>221</v>
      </c>
      <c r="O188">
        <v>73.666666669999998</v>
      </c>
      <c r="P188">
        <v>78</v>
      </c>
      <c r="Q188">
        <v>4</v>
      </c>
      <c r="R188">
        <v>8.58</v>
      </c>
      <c r="S188" t="s">
        <v>41</v>
      </c>
      <c r="T188" t="s">
        <v>42</v>
      </c>
      <c r="U188">
        <v>11</v>
      </c>
    </row>
    <row r="189" spans="1:21" x14ac:dyDescent="0.25">
      <c r="A189" t="s">
        <v>34</v>
      </c>
      <c r="B189" t="s">
        <v>39</v>
      </c>
      <c r="C189" t="s">
        <v>50</v>
      </c>
      <c r="D189" t="s">
        <v>23</v>
      </c>
      <c r="E189" t="s">
        <v>29</v>
      </c>
      <c r="F189">
        <v>62</v>
      </c>
      <c r="G189">
        <v>66</v>
      </c>
      <c r="H189">
        <v>68</v>
      </c>
      <c r="J189">
        <v>62</v>
      </c>
      <c r="K189">
        <v>7.8740078740000001</v>
      </c>
      <c r="L189">
        <v>62</v>
      </c>
      <c r="M189">
        <v>68</v>
      </c>
      <c r="N189">
        <v>196</v>
      </c>
      <c r="O189">
        <v>65.333333330000002</v>
      </c>
      <c r="P189">
        <v>64</v>
      </c>
      <c r="Q189">
        <v>1</v>
      </c>
      <c r="R189">
        <v>8.08</v>
      </c>
      <c r="S189" t="s">
        <v>30</v>
      </c>
      <c r="T189" t="s">
        <v>42</v>
      </c>
      <c r="U189">
        <v>16</v>
      </c>
    </row>
    <row r="190" spans="1:21" x14ac:dyDescent="0.25">
      <c r="A190" t="s">
        <v>34</v>
      </c>
      <c r="B190" t="s">
        <v>21</v>
      </c>
      <c r="C190" t="s">
        <v>50</v>
      </c>
      <c r="D190" t="s">
        <v>37</v>
      </c>
      <c r="E190" t="s">
        <v>24</v>
      </c>
      <c r="F190">
        <v>48</v>
      </c>
      <c r="G190">
        <v>52</v>
      </c>
      <c r="H190">
        <v>45</v>
      </c>
      <c r="J190">
        <v>48</v>
      </c>
      <c r="K190">
        <v>6.9282032300000003</v>
      </c>
      <c r="L190">
        <v>45</v>
      </c>
      <c r="M190">
        <v>52</v>
      </c>
      <c r="N190">
        <v>145</v>
      </c>
      <c r="O190">
        <v>48.333333330000002</v>
      </c>
      <c r="P190">
        <v>48</v>
      </c>
      <c r="Q190">
        <v>4</v>
      </c>
      <c r="R190">
        <v>6.95</v>
      </c>
      <c r="S190" t="s">
        <v>30</v>
      </c>
      <c r="T190" t="s">
        <v>42</v>
      </c>
      <c r="U190">
        <v>16</v>
      </c>
    </row>
    <row r="191" spans="1:21" x14ac:dyDescent="0.25">
      <c r="A191" t="s">
        <v>20</v>
      </c>
      <c r="B191" t="s">
        <v>27</v>
      </c>
      <c r="C191" t="s">
        <v>22</v>
      </c>
      <c r="D191" t="s">
        <v>23</v>
      </c>
      <c r="E191" t="s">
        <v>24</v>
      </c>
      <c r="F191">
        <v>77</v>
      </c>
      <c r="G191">
        <v>88</v>
      </c>
      <c r="H191">
        <v>87</v>
      </c>
      <c r="J191">
        <v>77</v>
      </c>
      <c r="K191">
        <v>8.7749643870000007</v>
      </c>
      <c r="L191">
        <v>77</v>
      </c>
      <c r="M191">
        <v>88</v>
      </c>
      <c r="N191">
        <v>252</v>
      </c>
      <c r="O191">
        <v>84</v>
      </c>
      <c r="P191">
        <v>82</v>
      </c>
      <c r="Q191">
        <v>2</v>
      </c>
      <c r="R191">
        <v>9.17</v>
      </c>
      <c r="S191" t="s">
        <v>25</v>
      </c>
      <c r="T191" t="s">
        <v>26</v>
      </c>
      <c r="U191">
        <v>17</v>
      </c>
    </row>
    <row r="192" spans="1:21" x14ac:dyDescent="0.25">
      <c r="A192" t="s">
        <v>20</v>
      </c>
      <c r="B192" t="s">
        <v>64</v>
      </c>
      <c r="C192" t="s">
        <v>36</v>
      </c>
      <c r="D192" t="s">
        <v>23</v>
      </c>
      <c r="E192" t="s">
        <v>24</v>
      </c>
      <c r="F192">
        <v>66</v>
      </c>
      <c r="G192">
        <v>65</v>
      </c>
      <c r="H192">
        <v>69</v>
      </c>
      <c r="J192">
        <v>66</v>
      </c>
      <c r="K192">
        <v>8.1240384050000003</v>
      </c>
      <c r="L192">
        <v>65</v>
      </c>
      <c r="M192">
        <v>69</v>
      </c>
      <c r="N192">
        <v>200</v>
      </c>
      <c r="O192">
        <v>66.666666669999998</v>
      </c>
      <c r="P192">
        <v>66</v>
      </c>
      <c r="Q192">
        <v>1</v>
      </c>
      <c r="R192">
        <v>8.16</v>
      </c>
      <c r="S192" t="s">
        <v>38</v>
      </c>
      <c r="T192" t="s">
        <v>26</v>
      </c>
      <c r="U192">
        <v>18</v>
      </c>
    </row>
    <row r="193" spans="1:21" x14ac:dyDescent="0.25">
      <c r="A193" t="s">
        <v>34</v>
      </c>
      <c r="B193" t="s">
        <v>39</v>
      </c>
      <c r="C193" t="s">
        <v>28</v>
      </c>
      <c r="D193" t="s">
        <v>23</v>
      </c>
      <c r="E193" t="s">
        <v>29</v>
      </c>
      <c r="F193">
        <v>76</v>
      </c>
      <c r="G193">
        <v>83</v>
      </c>
      <c r="H193">
        <v>79</v>
      </c>
      <c r="J193">
        <v>76</v>
      </c>
      <c r="K193">
        <v>8.7177978869999997</v>
      </c>
      <c r="L193">
        <v>76</v>
      </c>
      <c r="M193">
        <v>83</v>
      </c>
      <c r="N193">
        <v>238</v>
      </c>
      <c r="O193">
        <v>79.333333330000002</v>
      </c>
      <c r="P193">
        <v>77.5</v>
      </c>
      <c r="Q193">
        <v>2</v>
      </c>
      <c r="R193">
        <v>8.91</v>
      </c>
      <c r="S193" t="s">
        <v>30</v>
      </c>
      <c r="T193" t="s">
        <v>31</v>
      </c>
      <c r="U193">
        <v>12</v>
      </c>
    </row>
    <row r="194" spans="1:21" x14ac:dyDescent="0.25">
      <c r="A194" t="s">
        <v>20</v>
      </c>
      <c r="B194" t="s">
        <v>21</v>
      </c>
      <c r="C194" t="s">
        <v>50</v>
      </c>
      <c r="D194" t="s">
        <v>23</v>
      </c>
      <c r="E194" t="s">
        <v>24</v>
      </c>
      <c r="F194">
        <v>62</v>
      </c>
      <c r="G194">
        <v>64</v>
      </c>
      <c r="H194">
        <v>66</v>
      </c>
      <c r="J194">
        <v>62</v>
      </c>
      <c r="K194">
        <v>7.8740078740000001</v>
      </c>
      <c r="L194">
        <v>62</v>
      </c>
      <c r="M194">
        <v>66</v>
      </c>
      <c r="N194">
        <v>192</v>
      </c>
      <c r="O194">
        <v>64</v>
      </c>
      <c r="P194">
        <v>63</v>
      </c>
      <c r="Q194">
        <v>1</v>
      </c>
      <c r="R194">
        <v>8</v>
      </c>
      <c r="S194" t="s">
        <v>30</v>
      </c>
      <c r="T194" t="s">
        <v>42</v>
      </c>
      <c r="U194">
        <v>16</v>
      </c>
    </row>
    <row r="195" spans="1:21" x14ac:dyDescent="0.25">
      <c r="A195" t="s">
        <v>34</v>
      </c>
      <c r="B195" t="s">
        <v>39</v>
      </c>
      <c r="C195" t="s">
        <v>28</v>
      </c>
      <c r="D195" t="s">
        <v>23</v>
      </c>
      <c r="E195" t="s">
        <v>29</v>
      </c>
      <c r="F195">
        <v>77</v>
      </c>
      <c r="G195">
        <v>62</v>
      </c>
      <c r="H195">
        <v>62</v>
      </c>
      <c r="J195">
        <v>77</v>
      </c>
      <c r="K195">
        <v>8.7749643870000007</v>
      </c>
      <c r="L195">
        <v>62</v>
      </c>
      <c r="M195">
        <v>77</v>
      </c>
      <c r="N195">
        <v>201</v>
      </c>
      <c r="O195">
        <v>67</v>
      </c>
      <c r="P195">
        <v>69.5</v>
      </c>
      <c r="Q195">
        <v>3</v>
      </c>
      <c r="R195">
        <v>8.19</v>
      </c>
      <c r="S195" t="s">
        <v>30</v>
      </c>
      <c r="T195" t="s">
        <v>31</v>
      </c>
      <c r="U195">
        <v>12</v>
      </c>
    </row>
    <row r="196" spans="1:21" x14ac:dyDescent="0.25">
      <c r="A196" t="s">
        <v>20</v>
      </c>
      <c r="B196" t="s">
        <v>27</v>
      </c>
      <c r="C196" t="s">
        <v>32</v>
      </c>
      <c r="D196" t="s">
        <v>23</v>
      </c>
      <c r="E196" t="s">
        <v>29</v>
      </c>
      <c r="F196">
        <v>69</v>
      </c>
      <c r="G196">
        <v>84</v>
      </c>
      <c r="H196">
        <v>85</v>
      </c>
      <c r="J196">
        <v>69</v>
      </c>
      <c r="K196">
        <v>8.3066238630000004</v>
      </c>
      <c r="L196">
        <v>69</v>
      </c>
      <c r="M196">
        <v>85</v>
      </c>
      <c r="N196">
        <v>238</v>
      </c>
      <c r="O196">
        <v>79.333333330000002</v>
      </c>
      <c r="P196">
        <v>76.5</v>
      </c>
      <c r="Q196">
        <v>1</v>
      </c>
      <c r="R196">
        <v>8.91</v>
      </c>
      <c r="S196" t="s">
        <v>33</v>
      </c>
      <c r="T196" t="s">
        <v>26</v>
      </c>
      <c r="U196">
        <v>15</v>
      </c>
    </row>
    <row r="197" spans="1:21" x14ac:dyDescent="0.25">
      <c r="A197" t="s">
        <v>34</v>
      </c>
      <c r="B197" t="s">
        <v>39</v>
      </c>
      <c r="C197" t="s">
        <v>36</v>
      </c>
      <c r="D197" t="s">
        <v>23</v>
      </c>
      <c r="E197" t="s">
        <v>24</v>
      </c>
      <c r="F197">
        <v>61</v>
      </c>
      <c r="G197">
        <v>55</v>
      </c>
      <c r="H197">
        <v>52</v>
      </c>
      <c r="J197">
        <v>61</v>
      </c>
      <c r="K197">
        <v>7.8102496759999998</v>
      </c>
      <c r="L197">
        <v>52</v>
      </c>
      <c r="M197">
        <v>61</v>
      </c>
      <c r="N197">
        <v>168</v>
      </c>
      <c r="O197">
        <v>56</v>
      </c>
      <c r="P197">
        <v>58</v>
      </c>
      <c r="Q197">
        <v>4</v>
      </c>
      <c r="R197">
        <v>7.48</v>
      </c>
      <c r="S197" t="s">
        <v>38</v>
      </c>
      <c r="T197" t="s">
        <v>26</v>
      </c>
      <c r="U197">
        <v>18</v>
      </c>
    </row>
    <row r="198" spans="1:21" x14ac:dyDescent="0.25">
      <c r="A198" t="s">
        <v>34</v>
      </c>
      <c r="B198" t="s">
        <v>27</v>
      </c>
      <c r="C198" t="s">
        <v>50</v>
      </c>
      <c r="D198" t="s">
        <v>37</v>
      </c>
      <c r="E198" t="s">
        <v>29</v>
      </c>
      <c r="F198">
        <v>59</v>
      </c>
      <c r="G198">
        <v>69</v>
      </c>
      <c r="H198">
        <v>65</v>
      </c>
      <c r="J198">
        <v>59</v>
      </c>
      <c r="K198">
        <v>7.6811457479999996</v>
      </c>
      <c r="L198">
        <v>59</v>
      </c>
      <c r="M198">
        <v>69</v>
      </c>
      <c r="N198">
        <v>193</v>
      </c>
      <c r="O198">
        <v>64.333333330000002</v>
      </c>
      <c r="P198">
        <v>62</v>
      </c>
      <c r="Q198">
        <v>2</v>
      </c>
      <c r="R198">
        <v>8.02</v>
      </c>
      <c r="S198" t="s">
        <v>30</v>
      </c>
      <c r="T198" t="s">
        <v>42</v>
      </c>
      <c r="U198">
        <v>16</v>
      </c>
    </row>
    <row r="199" spans="1:21" x14ac:dyDescent="0.25">
      <c r="A199" t="s">
        <v>34</v>
      </c>
      <c r="B199" t="s">
        <v>64</v>
      </c>
      <c r="C199" t="s">
        <v>40</v>
      </c>
      <c r="D199" t="s">
        <v>37</v>
      </c>
      <c r="E199" t="s">
        <v>24</v>
      </c>
      <c r="F199">
        <v>55</v>
      </c>
      <c r="G199">
        <v>56</v>
      </c>
      <c r="H199">
        <v>51</v>
      </c>
      <c r="J199">
        <v>55</v>
      </c>
      <c r="K199">
        <v>7.416198487</v>
      </c>
      <c r="L199">
        <v>51</v>
      </c>
      <c r="M199">
        <v>56</v>
      </c>
      <c r="N199">
        <v>162</v>
      </c>
      <c r="O199">
        <v>54</v>
      </c>
      <c r="P199">
        <v>55</v>
      </c>
      <c r="Q199">
        <v>4</v>
      </c>
      <c r="R199">
        <v>7.35</v>
      </c>
      <c r="S199" t="s">
        <v>41</v>
      </c>
      <c r="T199" t="s">
        <v>42</v>
      </c>
      <c r="U199">
        <v>11</v>
      </c>
    </row>
    <row r="200" spans="1:21" x14ac:dyDescent="0.25">
      <c r="A200" t="s">
        <v>20</v>
      </c>
      <c r="B200" t="s">
        <v>21</v>
      </c>
      <c r="C200" t="s">
        <v>28</v>
      </c>
      <c r="D200" t="s">
        <v>37</v>
      </c>
      <c r="E200" t="s">
        <v>24</v>
      </c>
      <c r="F200">
        <v>45</v>
      </c>
      <c r="G200">
        <v>53</v>
      </c>
      <c r="H200">
        <v>55</v>
      </c>
      <c r="J200">
        <v>45</v>
      </c>
      <c r="K200">
        <v>6.708203932</v>
      </c>
      <c r="L200">
        <v>45</v>
      </c>
      <c r="M200">
        <v>55</v>
      </c>
      <c r="N200">
        <v>153</v>
      </c>
      <c r="O200">
        <v>51</v>
      </c>
      <c r="P200">
        <v>49</v>
      </c>
      <c r="Q200">
        <v>1</v>
      </c>
      <c r="R200">
        <v>7.14</v>
      </c>
      <c r="S200" t="s">
        <v>30</v>
      </c>
      <c r="T200" t="s">
        <v>31</v>
      </c>
      <c r="U200">
        <v>12</v>
      </c>
    </row>
    <row r="201" spans="1:21" x14ac:dyDescent="0.25">
      <c r="A201" t="s">
        <v>20</v>
      </c>
      <c r="B201" t="s">
        <v>21</v>
      </c>
      <c r="C201" t="s">
        <v>22</v>
      </c>
      <c r="D201" t="s">
        <v>37</v>
      </c>
      <c r="E201" t="s">
        <v>24</v>
      </c>
      <c r="F201">
        <v>78</v>
      </c>
      <c r="G201">
        <v>79</v>
      </c>
      <c r="H201">
        <v>76</v>
      </c>
      <c r="J201">
        <v>78</v>
      </c>
      <c r="K201">
        <v>8.8317608659999998</v>
      </c>
      <c r="L201">
        <v>76</v>
      </c>
      <c r="M201">
        <v>79</v>
      </c>
      <c r="N201">
        <v>233</v>
      </c>
      <c r="O201">
        <v>77.666666669999998</v>
      </c>
      <c r="P201">
        <v>78</v>
      </c>
      <c r="Q201">
        <v>4</v>
      </c>
      <c r="R201">
        <v>8.81</v>
      </c>
      <c r="S201" t="s">
        <v>25</v>
      </c>
      <c r="T201" t="s">
        <v>26</v>
      </c>
      <c r="U201">
        <v>17</v>
      </c>
    </row>
    <row r="202" spans="1:21" x14ac:dyDescent="0.25">
      <c r="A202" t="s">
        <v>20</v>
      </c>
      <c r="B202" t="s">
        <v>27</v>
      </c>
      <c r="C202" t="s">
        <v>36</v>
      </c>
      <c r="D202" t="s">
        <v>23</v>
      </c>
      <c r="E202" t="s">
        <v>29</v>
      </c>
      <c r="F202">
        <v>67</v>
      </c>
      <c r="G202">
        <v>84</v>
      </c>
      <c r="H202">
        <v>86</v>
      </c>
      <c r="J202">
        <v>67</v>
      </c>
      <c r="K202">
        <v>8.1853527719999999</v>
      </c>
      <c r="L202">
        <v>67</v>
      </c>
      <c r="M202">
        <v>86</v>
      </c>
      <c r="N202">
        <v>237</v>
      </c>
      <c r="O202">
        <v>79</v>
      </c>
      <c r="P202">
        <v>75.5</v>
      </c>
      <c r="Q202">
        <v>1</v>
      </c>
      <c r="R202">
        <v>8.89</v>
      </c>
      <c r="S202" t="s">
        <v>38</v>
      </c>
      <c r="T202" t="s">
        <v>26</v>
      </c>
      <c r="U202">
        <v>18</v>
      </c>
    </row>
    <row r="203" spans="1:21" x14ac:dyDescent="0.25">
      <c r="A203" t="s">
        <v>20</v>
      </c>
      <c r="B203" t="s">
        <v>39</v>
      </c>
      <c r="C203" t="s">
        <v>28</v>
      </c>
      <c r="D203" t="s">
        <v>37</v>
      </c>
      <c r="E203" t="s">
        <v>24</v>
      </c>
      <c r="F203">
        <v>65</v>
      </c>
      <c r="G203">
        <v>81</v>
      </c>
      <c r="H203">
        <v>77</v>
      </c>
      <c r="J203">
        <v>65</v>
      </c>
      <c r="K203">
        <v>8.0622577480000004</v>
      </c>
      <c r="L203">
        <v>65</v>
      </c>
      <c r="M203">
        <v>81</v>
      </c>
      <c r="N203">
        <v>223</v>
      </c>
      <c r="O203">
        <v>74.333333330000002</v>
      </c>
      <c r="P203">
        <v>71</v>
      </c>
      <c r="Q203">
        <v>2</v>
      </c>
      <c r="R203">
        <v>8.6199999999999992</v>
      </c>
      <c r="S203" t="s">
        <v>30</v>
      </c>
      <c r="T203" t="s">
        <v>31</v>
      </c>
      <c r="U203">
        <v>12</v>
      </c>
    </row>
    <row r="204" spans="1:21" x14ac:dyDescent="0.25">
      <c r="A204" t="s">
        <v>34</v>
      </c>
      <c r="B204" t="s">
        <v>27</v>
      </c>
      <c r="C204" t="s">
        <v>36</v>
      </c>
      <c r="D204" t="s">
        <v>23</v>
      </c>
      <c r="E204" t="s">
        <v>24</v>
      </c>
      <c r="F204">
        <v>69</v>
      </c>
      <c r="G204">
        <v>77</v>
      </c>
      <c r="H204">
        <v>69</v>
      </c>
      <c r="J204">
        <v>69</v>
      </c>
      <c r="K204">
        <v>8.3066238630000004</v>
      </c>
      <c r="L204">
        <v>69</v>
      </c>
      <c r="M204">
        <v>77</v>
      </c>
      <c r="N204">
        <v>215</v>
      </c>
      <c r="O204">
        <v>71.666666669999998</v>
      </c>
      <c r="P204">
        <v>69</v>
      </c>
      <c r="Q204">
        <v>2</v>
      </c>
      <c r="R204">
        <v>8.4700000000000006</v>
      </c>
      <c r="S204" t="s">
        <v>38</v>
      </c>
      <c r="T204" t="s">
        <v>26</v>
      </c>
      <c r="U204">
        <v>18</v>
      </c>
    </row>
    <row r="205" spans="1:21" x14ac:dyDescent="0.25">
      <c r="A205" t="s">
        <v>20</v>
      </c>
      <c r="B205" t="s">
        <v>21</v>
      </c>
      <c r="C205" t="s">
        <v>36</v>
      </c>
      <c r="D205" t="s">
        <v>23</v>
      </c>
      <c r="E205" t="s">
        <v>24</v>
      </c>
      <c r="F205">
        <v>57</v>
      </c>
      <c r="G205">
        <v>69</v>
      </c>
      <c r="H205">
        <v>68</v>
      </c>
      <c r="J205">
        <v>57</v>
      </c>
      <c r="K205">
        <v>7.5498344350000002</v>
      </c>
      <c r="L205">
        <v>57</v>
      </c>
      <c r="M205">
        <v>69</v>
      </c>
      <c r="N205">
        <v>194</v>
      </c>
      <c r="O205">
        <v>64.666666669999998</v>
      </c>
      <c r="P205">
        <v>62.5</v>
      </c>
      <c r="Q205">
        <v>2</v>
      </c>
      <c r="R205">
        <v>8.0399999999999991</v>
      </c>
      <c r="S205" t="s">
        <v>38</v>
      </c>
      <c r="T205" t="s">
        <v>26</v>
      </c>
      <c r="U205">
        <v>18</v>
      </c>
    </row>
    <row r="206" spans="1:21" x14ac:dyDescent="0.25">
      <c r="A206" t="s">
        <v>34</v>
      </c>
      <c r="B206" t="s">
        <v>27</v>
      </c>
      <c r="C206" t="s">
        <v>28</v>
      </c>
      <c r="D206" t="s">
        <v>23</v>
      </c>
      <c r="E206" t="s">
        <v>24</v>
      </c>
      <c r="F206">
        <v>59</v>
      </c>
      <c r="G206">
        <v>41</v>
      </c>
      <c r="H206">
        <v>42</v>
      </c>
      <c r="J206">
        <v>59</v>
      </c>
      <c r="K206">
        <v>7.6811457479999996</v>
      </c>
      <c r="L206">
        <v>41</v>
      </c>
      <c r="M206">
        <v>59</v>
      </c>
      <c r="N206">
        <v>142</v>
      </c>
      <c r="O206">
        <v>47.333333330000002</v>
      </c>
      <c r="P206">
        <v>50.5</v>
      </c>
      <c r="Q206">
        <v>3</v>
      </c>
      <c r="R206">
        <v>6.88</v>
      </c>
      <c r="S206" t="s">
        <v>30</v>
      </c>
      <c r="T206" t="s">
        <v>31</v>
      </c>
      <c r="U206">
        <v>12</v>
      </c>
    </row>
    <row r="207" spans="1:21" x14ac:dyDescent="0.25">
      <c r="A207" t="s">
        <v>34</v>
      </c>
      <c r="B207" t="s">
        <v>39</v>
      </c>
      <c r="C207" t="s">
        <v>50</v>
      </c>
      <c r="D207" t="s">
        <v>23</v>
      </c>
      <c r="E207" t="s">
        <v>29</v>
      </c>
      <c r="F207">
        <v>74</v>
      </c>
      <c r="G207">
        <v>71</v>
      </c>
      <c r="H207">
        <v>78</v>
      </c>
      <c r="J207">
        <v>74</v>
      </c>
      <c r="K207">
        <v>8.6023252669999994</v>
      </c>
      <c r="L207">
        <v>71</v>
      </c>
      <c r="M207">
        <v>78</v>
      </c>
      <c r="N207">
        <v>223</v>
      </c>
      <c r="O207">
        <v>74.333333330000002</v>
      </c>
      <c r="P207">
        <v>74</v>
      </c>
      <c r="Q207">
        <v>1</v>
      </c>
      <c r="R207">
        <v>8.6199999999999992</v>
      </c>
      <c r="S207" t="s">
        <v>30</v>
      </c>
      <c r="T207" t="s">
        <v>42</v>
      </c>
      <c r="U207">
        <v>16</v>
      </c>
    </row>
    <row r="208" spans="1:21" x14ac:dyDescent="0.25">
      <c r="A208" t="s">
        <v>34</v>
      </c>
      <c r="B208" t="s">
        <v>64</v>
      </c>
      <c r="C208" t="s">
        <v>22</v>
      </c>
      <c r="D208" t="s">
        <v>23</v>
      </c>
      <c r="E208" t="s">
        <v>24</v>
      </c>
      <c r="F208">
        <v>82</v>
      </c>
      <c r="G208">
        <v>62</v>
      </c>
      <c r="H208">
        <v>62</v>
      </c>
      <c r="J208">
        <v>82</v>
      </c>
      <c r="K208">
        <v>9.0553851380000001</v>
      </c>
      <c r="L208">
        <v>62</v>
      </c>
      <c r="M208">
        <v>82</v>
      </c>
      <c r="N208">
        <v>206</v>
      </c>
      <c r="O208">
        <v>68.666666669999998</v>
      </c>
      <c r="P208">
        <v>72</v>
      </c>
      <c r="Q208">
        <v>3</v>
      </c>
      <c r="R208">
        <v>8.2899999999999991</v>
      </c>
      <c r="S208" t="s">
        <v>25</v>
      </c>
      <c r="T208" t="s">
        <v>26</v>
      </c>
      <c r="U208">
        <v>17</v>
      </c>
    </row>
    <row r="209" spans="1:21" x14ac:dyDescent="0.25">
      <c r="A209" t="s">
        <v>34</v>
      </c>
      <c r="B209" t="s">
        <v>64</v>
      </c>
      <c r="C209" t="s">
        <v>40</v>
      </c>
      <c r="D209" t="s">
        <v>23</v>
      </c>
      <c r="E209" t="s">
        <v>29</v>
      </c>
      <c r="F209">
        <v>81</v>
      </c>
      <c r="G209">
        <v>80</v>
      </c>
      <c r="H209">
        <v>76</v>
      </c>
      <c r="J209">
        <v>81</v>
      </c>
      <c r="K209">
        <v>9</v>
      </c>
      <c r="L209">
        <v>76</v>
      </c>
      <c r="M209">
        <v>81</v>
      </c>
      <c r="N209">
        <v>237</v>
      </c>
      <c r="O209">
        <v>79</v>
      </c>
      <c r="P209">
        <v>80.5</v>
      </c>
      <c r="Q209">
        <v>4</v>
      </c>
      <c r="R209">
        <v>8.89</v>
      </c>
      <c r="S209" t="s">
        <v>41</v>
      </c>
      <c r="T209" t="s">
        <v>42</v>
      </c>
      <c r="U209">
        <v>11</v>
      </c>
    </row>
    <row r="210" spans="1:21" x14ac:dyDescent="0.25">
      <c r="A210" t="s">
        <v>20</v>
      </c>
      <c r="B210" t="s">
        <v>21</v>
      </c>
      <c r="C210" t="s">
        <v>28</v>
      </c>
      <c r="D210" t="s">
        <v>37</v>
      </c>
      <c r="E210" t="s">
        <v>24</v>
      </c>
      <c r="F210">
        <v>74</v>
      </c>
      <c r="G210">
        <v>81</v>
      </c>
      <c r="H210">
        <v>76</v>
      </c>
      <c r="J210">
        <v>74</v>
      </c>
      <c r="K210">
        <v>8.6023252669999994</v>
      </c>
      <c r="L210">
        <v>74</v>
      </c>
      <c r="M210">
        <v>81</v>
      </c>
      <c r="N210">
        <v>231</v>
      </c>
      <c r="O210">
        <v>77</v>
      </c>
      <c r="P210">
        <v>75</v>
      </c>
      <c r="Q210">
        <v>2</v>
      </c>
      <c r="R210">
        <v>8.77</v>
      </c>
      <c r="S210" t="s">
        <v>30</v>
      </c>
      <c r="T210" t="s">
        <v>31</v>
      </c>
      <c r="U210">
        <v>12</v>
      </c>
    </row>
    <row r="211" spans="1:21" x14ac:dyDescent="0.25">
      <c r="A211" t="s">
        <v>20</v>
      </c>
      <c r="B211" t="s">
        <v>21</v>
      </c>
      <c r="C211" t="s">
        <v>28</v>
      </c>
      <c r="D211" t="s">
        <v>37</v>
      </c>
      <c r="E211" t="s">
        <v>24</v>
      </c>
      <c r="F211">
        <v>58</v>
      </c>
      <c r="G211">
        <v>61</v>
      </c>
      <c r="H211">
        <v>66</v>
      </c>
      <c r="J211">
        <v>58</v>
      </c>
      <c r="K211">
        <v>7.6157731059999998</v>
      </c>
      <c r="L211">
        <v>58</v>
      </c>
      <c r="M211">
        <v>66</v>
      </c>
      <c r="N211">
        <v>185</v>
      </c>
      <c r="O211">
        <v>61.666666669999998</v>
      </c>
      <c r="P211">
        <v>59.5</v>
      </c>
      <c r="Q211">
        <v>1</v>
      </c>
      <c r="R211">
        <v>7.85</v>
      </c>
      <c r="S211" t="s">
        <v>30</v>
      </c>
      <c r="T211" t="s">
        <v>31</v>
      </c>
      <c r="U211">
        <v>12</v>
      </c>
    </row>
    <row r="212" spans="1:21" x14ac:dyDescent="0.25">
      <c r="A212" t="s">
        <v>34</v>
      </c>
      <c r="B212" t="s">
        <v>39</v>
      </c>
      <c r="C212" t="s">
        <v>50</v>
      </c>
      <c r="D212" t="s">
        <v>37</v>
      </c>
      <c r="E212" t="s">
        <v>29</v>
      </c>
      <c r="F212">
        <v>80</v>
      </c>
      <c r="G212">
        <v>79</v>
      </c>
      <c r="H212">
        <v>79</v>
      </c>
      <c r="J212">
        <v>80</v>
      </c>
      <c r="K212">
        <v>8.9442719099999994</v>
      </c>
      <c r="L212">
        <v>79</v>
      </c>
      <c r="M212">
        <v>80</v>
      </c>
      <c r="N212">
        <v>238</v>
      </c>
      <c r="O212">
        <v>79.333333330000002</v>
      </c>
      <c r="P212">
        <v>79.5</v>
      </c>
      <c r="Q212">
        <v>3</v>
      </c>
      <c r="R212">
        <v>8.91</v>
      </c>
      <c r="S212" t="s">
        <v>30</v>
      </c>
      <c r="T212" t="s">
        <v>42</v>
      </c>
      <c r="U212">
        <v>16</v>
      </c>
    </row>
    <row r="213" spans="1:21" x14ac:dyDescent="0.25">
      <c r="A213" t="s">
        <v>34</v>
      </c>
      <c r="B213" t="s">
        <v>27</v>
      </c>
      <c r="C213" t="s">
        <v>28</v>
      </c>
      <c r="D213" t="s">
        <v>37</v>
      </c>
      <c r="E213" t="s">
        <v>24</v>
      </c>
      <c r="F213">
        <v>35</v>
      </c>
      <c r="G213">
        <v>28</v>
      </c>
      <c r="H213">
        <v>27</v>
      </c>
      <c r="J213">
        <v>35</v>
      </c>
      <c r="K213">
        <v>5.9160797829999998</v>
      </c>
      <c r="L213">
        <v>27</v>
      </c>
      <c r="M213">
        <v>35</v>
      </c>
      <c r="N213">
        <v>90</v>
      </c>
      <c r="O213">
        <v>30</v>
      </c>
      <c r="P213">
        <v>31.5</v>
      </c>
      <c r="Q213">
        <v>4</v>
      </c>
      <c r="R213">
        <v>5.48</v>
      </c>
      <c r="S213" t="s">
        <v>30</v>
      </c>
      <c r="T213" t="s">
        <v>31</v>
      </c>
      <c r="U213">
        <v>12</v>
      </c>
    </row>
    <row r="214" spans="1:21" x14ac:dyDescent="0.25">
      <c r="A214" t="s">
        <v>20</v>
      </c>
      <c r="B214" t="s">
        <v>27</v>
      </c>
      <c r="C214" t="s">
        <v>40</v>
      </c>
      <c r="D214" t="s">
        <v>37</v>
      </c>
      <c r="E214" t="s">
        <v>24</v>
      </c>
      <c r="F214">
        <v>42</v>
      </c>
      <c r="G214">
        <v>62</v>
      </c>
      <c r="H214">
        <v>60</v>
      </c>
      <c r="J214">
        <v>42</v>
      </c>
      <c r="K214">
        <v>6.480740698</v>
      </c>
      <c r="L214">
        <v>42</v>
      </c>
      <c r="M214">
        <v>62</v>
      </c>
      <c r="N214">
        <v>164</v>
      </c>
      <c r="O214">
        <v>54.666666669999998</v>
      </c>
      <c r="P214">
        <v>51</v>
      </c>
      <c r="Q214">
        <v>2</v>
      </c>
      <c r="R214">
        <v>7.39</v>
      </c>
      <c r="S214" t="s">
        <v>41</v>
      </c>
      <c r="T214" t="s">
        <v>42</v>
      </c>
      <c r="U214">
        <v>11</v>
      </c>
    </row>
    <row r="215" spans="1:21" x14ac:dyDescent="0.25">
      <c r="A215" t="s">
        <v>34</v>
      </c>
      <c r="B215" t="s">
        <v>27</v>
      </c>
      <c r="C215" t="s">
        <v>36</v>
      </c>
      <c r="D215" t="s">
        <v>37</v>
      </c>
      <c r="E215" t="s">
        <v>29</v>
      </c>
      <c r="F215">
        <v>60</v>
      </c>
      <c r="G215">
        <v>51</v>
      </c>
      <c r="H215">
        <v>56</v>
      </c>
      <c r="J215">
        <v>60</v>
      </c>
      <c r="K215">
        <v>7.7459666919999997</v>
      </c>
      <c r="L215">
        <v>51</v>
      </c>
      <c r="M215">
        <v>60</v>
      </c>
      <c r="N215">
        <v>167</v>
      </c>
      <c r="O215">
        <v>55.666666669999998</v>
      </c>
      <c r="P215">
        <v>58</v>
      </c>
      <c r="Q215">
        <v>3</v>
      </c>
      <c r="R215">
        <v>7.46</v>
      </c>
      <c r="S215" t="s">
        <v>38</v>
      </c>
      <c r="T215" t="s">
        <v>26</v>
      </c>
      <c r="U215">
        <v>18</v>
      </c>
    </row>
    <row r="216" spans="1:21" x14ac:dyDescent="0.25">
      <c r="A216" t="s">
        <v>34</v>
      </c>
      <c r="B216" t="s">
        <v>64</v>
      </c>
      <c r="C216" t="s">
        <v>40</v>
      </c>
      <c r="D216" t="s">
        <v>23</v>
      </c>
      <c r="E216" t="s">
        <v>29</v>
      </c>
      <c r="F216">
        <v>87</v>
      </c>
      <c r="G216">
        <v>91</v>
      </c>
      <c r="H216">
        <v>81</v>
      </c>
      <c r="J216">
        <v>87</v>
      </c>
      <c r="K216">
        <v>9.3273790529999996</v>
      </c>
      <c r="L216">
        <v>81</v>
      </c>
      <c r="M216">
        <v>91</v>
      </c>
      <c r="N216">
        <v>259</v>
      </c>
      <c r="O216">
        <v>86.333333330000002</v>
      </c>
      <c r="P216">
        <v>87</v>
      </c>
      <c r="Q216">
        <v>4</v>
      </c>
      <c r="R216">
        <v>9.2899999999999991</v>
      </c>
      <c r="S216" t="s">
        <v>41</v>
      </c>
      <c r="T216" t="s">
        <v>42</v>
      </c>
      <c r="U216">
        <v>11</v>
      </c>
    </row>
    <row r="217" spans="1:21" x14ac:dyDescent="0.25">
      <c r="A217" t="s">
        <v>34</v>
      </c>
      <c r="B217" t="s">
        <v>21</v>
      </c>
      <c r="C217" t="s">
        <v>50</v>
      </c>
      <c r="D217" t="s">
        <v>23</v>
      </c>
      <c r="E217" t="s">
        <v>29</v>
      </c>
      <c r="F217">
        <v>84</v>
      </c>
      <c r="G217">
        <v>83</v>
      </c>
      <c r="H217">
        <v>75</v>
      </c>
      <c r="J217">
        <v>84</v>
      </c>
      <c r="K217">
        <v>9.1651513900000001</v>
      </c>
      <c r="L217">
        <v>75</v>
      </c>
      <c r="M217">
        <v>84</v>
      </c>
      <c r="N217">
        <v>242</v>
      </c>
      <c r="O217">
        <v>80.666666669999998</v>
      </c>
      <c r="P217">
        <v>83.5</v>
      </c>
      <c r="Q217">
        <v>4</v>
      </c>
      <c r="R217">
        <v>8.98</v>
      </c>
      <c r="S217" t="s">
        <v>30</v>
      </c>
      <c r="T217" t="s">
        <v>42</v>
      </c>
      <c r="U217">
        <v>16</v>
      </c>
    </row>
    <row r="218" spans="1:21" x14ac:dyDescent="0.25">
      <c r="A218" t="s">
        <v>20</v>
      </c>
      <c r="B218" t="s">
        <v>64</v>
      </c>
      <c r="C218" t="s">
        <v>36</v>
      </c>
      <c r="D218" t="s">
        <v>37</v>
      </c>
      <c r="E218" t="s">
        <v>29</v>
      </c>
      <c r="F218">
        <v>83</v>
      </c>
      <c r="G218">
        <v>86</v>
      </c>
      <c r="H218">
        <v>88</v>
      </c>
      <c r="J218">
        <v>83</v>
      </c>
      <c r="K218">
        <v>9.1104335790000004</v>
      </c>
      <c r="L218">
        <v>83</v>
      </c>
      <c r="M218">
        <v>88</v>
      </c>
      <c r="N218">
        <v>257</v>
      </c>
      <c r="O218">
        <v>85.666666669999998</v>
      </c>
      <c r="P218">
        <v>84.5</v>
      </c>
      <c r="Q218">
        <v>1</v>
      </c>
      <c r="R218">
        <v>9.26</v>
      </c>
      <c r="S218" t="s">
        <v>38</v>
      </c>
      <c r="T218" t="s">
        <v>26</v>
      </c>
      <c r="U218">
        <v>18</v>
      </c>
    </row>
    <row r="219" spans="1:21" x14ac:dyDescent="0.25">
      <c r="A219" t="s">
        <v>20</v>
      </c>
      <c r="B219" t="s">
        <v>27</v>
      </c>
      <c r="C219" t="s">
        <v>40</v>
      </c>
      <c r="D219" t="s">
        <v>37</v>
      </c>
      <c r="E219" t="s">
        <v>24</v>
      </c>
      <c r="F219">
        <v>34</v>
      </c>
      <c r="G219">
        <v>42</v>
      </c>
      <c r="H219">
        <v>39</v>
      </c>
      <c r="J219">
        <v>34</v>
      </c>
      <c r="K219">
        <v>5.8309518950000001</v>
      </c>
      <c r="L219">
        <v>34</v>
      </c>
      <c r="M219">
        <v>42</v>
      </c>
      <c r="N219">
        <v>115</v>
      </c>
      <c r="O219">
        <v>38.333333330000002</v>
      </c>
      <c r="P219">
        <v>36.5</v>
      </c>
      <c r="Q219">
        <v>2</v>
      </c>
      <c r="R219">
        <v>6.19</v>
      </c>
      <c r="S219" t="s">
        <v>41</v>
      </c>
      <c r="T219" t="s">
        <v>42</v>
      </c>
      <c r="U219">
        <v>11</v>
      </c>
    </row>
    <row r="220" spans="1:21" x14ac:dyDescent="0.25">
      <c r="A220" t="s">
        <v>34</v>
      </c>
      <c r="B220" t="s">
        <v>21</v>
      </c>
      <c r="C220" t="s">
        <v>40</v>
      </c>
      <c r="D220" t="s">
        <v>37</v>
      </c>
      <c r="E220" t="s">
        <v>24</v>
      </c>
      <c r="F220">
        <v>66</v>
      </c>
      <c r="G220">
        <v>77</v>
      </c>
      <c r="H220">
        <v>70</v>
      </c>
      <c r="J220">
        <v>66</v>
      </c>
      <c r="K220">
        <v>8.1240384050000003</v>
      </c>
      <c r="L220">
        <v>66</v>
      </c>
      <c r="M220">
        <v>77</v>
      </c>
      <c r="N220">
        <v>213</v>
      </c>
      <c r="O220">
        <v>71</v>
      </c>
      <c r="P220">
        <v>68</v>
      </c>
      <c r="Q220">
        <v>2</v>
      </c>
      <c r="R220">
        <v>8.43</v>
      </c>
      <c r="S220" t="s">
        <v>41</v>
      </c>
      <c r="T220" t="s">
        <v>42</v>
      </c>
      <c r="U220">
        <v>11</v>
      </c>
    </row>
    <row r="221" spans="1:21" x14ac:dyDescent="0.25">
      <c r="A221" t="s">
        <v>34</v>
      </c>
      <c r="B221" t="s">
        <v>21</v>
      </c>
      <c r="C221" t="s">
        <v>50</v>
      </c>
      <c r="D221" t="s">
        <v>23</v>
      </c>
      <c r="E221" t="s">
        <v>29</v>
      </c>
      <c r="F221">
        <v>61</v>
      </c>
      <c r="G221">
        <v>56</v>
      </c>
      <c r="H221">
        <v>56</v>
      </c>
      <c r="J221">
        <v>61</v>
      </c>
      <c r="K221">
        <v>7.8102496759999998</v>
      </c>
      <c r="L221">
        <v>56</v>
      </c>
      <c r="M221">
        <v>61</v>
      </c>
      <c r="N221">
        <v>173</v>
      </c>
      <c r="O221">
        <v>57.666666669999998</v>
      </c>
      <c r="P221">
        <v>58.5</v>
      </c>
      <c r="Q221">
        <v>3</v>
      </c>
      <c r="R221">
        <v>7.59</v>
      </c>
      <c r="S221" t="s">
        <v>30</v>
      </c>
      <c r="T221" t="s">
        <v>42</v>
      </c>
      <c r="U221">
        <v>16</v>
      </c>
    </row>
    <row r="222" spans="1:21" x14ac:dyDescent="0.25">
      <c r="A222" t="s">
        <v>20</v>
      </c>
      <c r="B222" t="s">
        <v>39</v>
      </c>
      <c r="C222" t="s">
        <v>40</v>
      </c>
      <c r="D222" t="s">
        <v>23</v>
      </c>
      <c r="E222" t="s">
        <v>29</v>
      </c>
      <c r="F222">
        <v>56</v>
      </c>
      <c r="G222">
        <v>68</v>
      </c>
      <c r="H222">
        <v>74</v>
      </c>
      <c r="J222">
        <v>56</v>
      </c>
      <c r="K222">
        <v>7.4833147740000001</v>
      </c>
      <c r="L222">
        <v>56</v>
      </c>
      <c r="M222">
        <v>74</v>
      </c>
      <c r="N222">
        <v>198</v>
      </c>
      <c r="O222">
        <v>66</v>
      </c>
      <c r="P222">
        <v>62</v>
      </c>
      <c r="Q222">
        <v>1</v>
      </c>
      <c r="R222">
        <v>8.1199999999999992</v>
      </c>
      <c r="S222" t="s">
        <v>41</v>
      </c>
      <c r="T222" t="s">
        <v>42</v>
      </c>
      <c r="U222">
        <v>11</v>
      </c>
    </row>
    <row r="223" spans="1:21" x14ac:dyDescent="0.25">
      <c r="A223" t="s">
        <v>34</v>
      </c>
      <c r="B223" t="s">
        <v>21</v>
      </c>
      <c r="C223" t="s">
        <v>36</v>
      </c>
      <c r="D223" t="s">
        <v>23</v>
      </c>
      <c r="E223" t="s">
        <v>24</v>
      </c>
      <c r="F223">
        <v>87</v>
      </c>
      <c r="G223">
        <v>85</v>
      </c>
      <c r="H223">
        <v>73</v>
      </c>
      <c r="J223">
        <v>87</v>
      </c>
      <c r="K223">
        <v>9.3273790529999996</v>
      </c>
      <c r="L223">
        <v>73</v>
      </c>
      <c r="M223">
        <v>87</v>
      </c>
      <c r="N223">
        <v>245</v>
      </c>
      <c r="O223">
        <v>81.666666669999998</v>
      </c>
      <c r="P223">
        <v>86</v>
      </c>
      <c r="Q223">
        <v>4</v>
      </c>
      <c r="R223">
        <v>9.0399999999999991</v>
      </c>
      <c r="S223" t="s">
        <v>38</v>
      </c>
      <c r="T223" t="s">
        <v>26</v>
      </c>
      <c r="U223">
        <v>18</v>
      </c>
    </row>
    <row r="224" spans="1:21" x14ac:dyDescent="0.25">
      <c r="A224" t="s">
        <v>20</v>
      </c>
      <c r="B224" t="s">
        <v>27</v>
      </c>
      <c r="C224" t="s">
        <v>50</v>
      </c>
      <c r="D224" t="s">
        <v>37</v>
      </c>
      <c r="E224" t="s">
        <v>24</v>
      </c>
      <c r="F224">
        <v>55</v>
      </c>
      <c r="G224">
        <v>65</v>
      </c>
      <c r="H224">
        <v>62</v>
      </c>
      <c r="J224">
        <v>55</v>
      </c>
      <c r="K224">
        <v>7.416198487</v>
      </c>
      <c r="L224">
        <v>55</v>
      </c>
      <c r="M224">
        <v>65</v>
      </c>
      <c r="N224">
        <v>182</v>
      </c>
      <c r="O224">
        <v>60.666666669999998</v>
      </c>
      <c r="P224">
        <v>58.5</v>
      </c>
      <c r="Q224">
        <v>2</v>
      </c>
      <c r="R224">
        <v>7.79</v>
      </c>
      <c r="S224" t="s">
        <v>30</v>
      </c>
      <c r="T224" t="s">
        <v>42</v>
      </c>
      <c r="U224">
        <v>16</v>
      </c>
    </row>
    <row r="225" spans="1:21" x14ac:dyDescent="0.25">
      <c r="A225" t="s">
        <v>34</v>
      </c>
      <c r="B225" t="s">
        <v>39</v>
      </c>
      <c r="C225" t="s">
        <v>50</v>
      </c>
      <c r="D225" t="s">
        <v>23</v>
      </c>
      <c r="E225" t="s">
        <v>24</v>
      </c>
      <c r="F225">
        <v>86</v>
      </c>
      <c r="G225">
        <v>80</v>
      </c>
      <c r="H225">
        <v>75</v>
      </c>
      <c r="J225">
        <v>86</v>
      </c>
      <c r="K225">
        <v>9.2736184949999991</v>
      </c>
      <c r="L225">
        <v>75</v>
      </c>
      <c r="M225">
        <v>86</v>
      </c>
      <c r="N225">
        <v>241</v>
      </c>
      <c r="O225">
        <v>80.333333330000002</v>
      </c>
      <c r="P225">
        <v>83</v>
      </c>
      <c r="Q225">
        <v>4</v>
      </c>
      <c r="R225">
        <v>8.9600000000000009</v>
      </c>
      <c r="S225" t="s">
        <v>30</v>
      </c>
      <c r="T225" t="s">
        <v>42</v>
      </c>
      <c r="U225">
        <v>16</v>
      </c>
    </row>
    <row r="226" spans="1:21" x14ac:dyDescent="0.25">
      <c r="A226" t="s">
        <v>20</v>
      </c>
      <c r="B226" t="s">
        <v>21</v>
      </c>
      <c r="C226" t="s">
        <v>36</v>
      </c>
      <c r="D226" t="s">
        <v>23</v>
      </c>
      <c r="E226" t="s">
        <v>29</v>
      </c>
      <c r="F226">
        <v>52</v>
      </c>
      <c r="G226">
        <v>66</v>
      </c>
      <c r="H226">
        <v>73</v>
      </c>
      <c r="J226">
        <v>52</v>
      </c>
      <c r="K226">
        <v>7.2111025509999997</v>
      </c>
      <c r="L226">
        <v>52</v>
      </c>
      <c r="M226">
        <v>73</v>
      </c>
      <c r="N226">
        <v>191</v>
      </c>
      <c r="O226">
        <v>63.666666669999998</v>
      </c>
      <c r="P226">
        <v>59</v>
      </c>
      <c r="Q226">
        <v>1</v>
      </c>
      <c r="R226">
        <v>7.98</v>
      </c>
      <c r="S226" t="s">
        <v>38</v>
      </c>
      <c r="T226" t="s">
        <v>26</v>
      </c>
      <c r="U226">
        <v>18</v>
      </c>
    </row>
    <row r="227" spans="1:21" x14ac:dyDescent="0.25">
      <c r="A227" t="s">
        <v>20</v>
      </c>
      <c r="B227" t="s">
        <v>64</v>
      </c>
      <c r="C227" t="s">
        <v>32</v>
      </c>
      <c r="D227" t="s">
        <v>37</v>
      </c>
      <c r="E227" t="s">
        <v>24</v>
      </c>
      <c r="F227">
        <v>45</v>
      </c>
      <c r="G227">
        <v>56</v>
      </c>
      <c r="H227">
        <v>54</v>
      </c>
      <c r="J227">
        <v>45</v>
      </c>
      <c r="K227">
        <v>6.708203932</v>
      </c>
      <c r="L227">
        <v>45</v>
      </c>
      <c r="M227">
        <v>56</v>
      </c>
      <c r="N227">
        <v>155</v>
      </c>
      <c r="O227">
        <v>51.666666669999998</v>
      </c>
      <c r="P227">
        <v>49.5</v>
      </c>
      <c r="Q227">
        <v>2</v>
      </c>
      <c r="R227">
        <v>7.19</v>
      </c>
      <c r="S227" t="s">
        <v>33</v>
      </c>
      <c r="T227" t="s">
        <v>26</v>
      </c>
      <c r="U227">
        <v>15</v>
      </c>
    </row>
    <row r="228" spans="1:21" x14ac:dyDescent="0.25">
      <c r="A228" t="s">
        <v>20</v>
      </c>
      <c r="B228" t="s">
        <v>27</v>
      </c>
      <c r="C228" t="s">
        <v>28</v>
      </c>
      <c r="D228" t="s">
        <v>23</v>
      </c>
      <c r="E228" t="s">
        <v>24</v>
      </c>
      <c r="F228">
        <v>72</v>
      </c>
      <c r="G228">
        <v>72</v>
      </c>
      <c r="H228">
        <v>71</v>
      </c>
      <c r="J228">
        <v>72</v>
      </c>
      <c r="K228">
        <v>8.4852813739999995</v>
      </c>
      <c r="L228">
        <v>71</v>
      </c>
      <c r="M228">
        <v>72</v>
      </c>
      <c r="N228">
        <v>215</v>
      </c>
      <c r="O228">
        <v>71.666666669999998</v>
      </c>
      <c r="P228">
        <v>72</v>
      </c>
      <c r="Q228">
        <v>4</v>
      </c>
      <c r="R228">
        <v>8.4700000000000006</v>
      </c>
      <c r="S228" t="s">
        <v>30</v>
      </c>
      <c r="T228" t="s">
        <v>31</v>
      </c>
      <c r="U228">
        <v>12</v>
      </c>
    </row>
    <row r="229" spans="1:21" x14ac:dyDescent="0.25">
      <c r="A229" t="s">
        <v>34</v>
      </c>
      <c r="B229" t="s">
        <v>39</v>
      </c>
      <c r="C229" t="s">
        <v>40</v>
      </c>
      <c r="D229" t="s">
        <v>23</v>
      </c>
      <c r="E229" t="s">
        <v>24</v>
      </c>
      <c r="F229">
        <v>57</v>
      </c>
      <c r="G229">
        <v>50</v>
      </c>
      <c r="H229">
        <v>54</v>
      </c>
      <c r="J229">
        <v>57</v>
      </c>
      <c r="K229">
        <v>7.5498344350000002</v>
      </c>
      <c r="L229">
        <v>50</v>
      </c>
      <c r="M229">
        <v>57</v>
      </c>
      <c r="N229">
        <v>161</v>
      </c>
      <c r="O229">
        <v>53.666666669999998</v>
      </c>
      <c r="P229">
        <v>55.5</v>
      </c>
      <c r="Q229">
        <v>3</v>
      </c>
      <c r="R229">
        <v>7.33</v>
      </c>
      <c r="S229" t="s">
        <v>41</v>
      </c>
      <c r="T229" t="s">
        <v>42</v>
      </c>
      <c r="U229">
        <v>11</v>
      </c>
    </row>
    <row r="230" spans="1:21" x14ac:dyDescent="0.25">
      <c r="A230" t="s">
        <v>34</v>
      </c>
      <c r="B230" t="s">
        <v>35</v>
      </c>
      <c r="C230" t="s">
        <v>50</v>
      </c>
      <c r="D230" t="s">
        <v>37</v>
      </c>
      <c r="E230" t="s">
        <v>24</v>
      </c>
      <c r="F230">
        <v>68</v>
      </c>
      <c r="G230">
        <v>72</v>
      </c>
      <c r="H230">
        <v>64</v>
      </c>
      <c r="J230">
        <v>68</v>
      </c>
      <c r="K230">
        <v>8.2462112510000001</v>
      </c>
      <c r="L230">
        <v>64</v>
      </c>
      <c r="M230">
        <v>72</v>
      </c>
      <c r="N230">
        <v>204</v>
      </c>
      <c r="O230">
        <v>68</v>
      </c>
      <c r="P230">
        <v>68</v>
      </c>
      <c r="Q230">
        <v>4</v>
      </c>
      <c r="R230">
        <v>8.25</v>
      </c>
      <c r="S230" t="s">
        <v>30</v>
      </c>
      <c r="T230" t="s">
        <v>42</v>
      </c>
      <c r="U230">
        <v>16</v>
      </c>
    </row>
    <row r="231" spans="1:21" x14ac:dyDescent="0.25">
      <c r="A231" t="s">
        <v>20</v>
      </c>
      <c r="B231" t="s">
        <v>27</v>
      </c>
      <c r="C231" t="s">
        <v>28</v>
      </c>
      <c r="D231" t="s">
        <v>23</v>
      </c>
      <c r="E231" t="s">
        <v>29</v>
      </c>
      <c r="F231">
        <v>88</v>
      </c>
      <c r="G231">
        <v>95</v>
      </c>
      <c r="H231">
        <v>94</v>
      </c>
      <c r="J231">
        <v>88</v>
      </c>
      <c r="K231">
        <v>9.3808315199999992</v>
      </c>
      <c r="L231">
        <v>88</v>
      </c>
      <c r="M231">
        <v>95</v>
      </c>
      <c r="N231">
        <v>277</v>
      </c>
      <c r="O231">
        <v>92.333333330000002</v>
      </c>
      <c r="P231">
        <v>91</v>
      </c>
      <c r="Q231">
        <v>2</v>
      </c>
      <c r="R231">
        <v>9.61</v>
      </c>
      <c r="S231" t="s">
        <v>30</v>
      </c>
      <c r="T231" t="s">
        <v>31</v>
      </c>
      <c r="U231">
        <v>12</v>
      </c>
    </row>
    <row r="232" spans="1:21" x14ac:dyDescent="0.25">
      <c r="A232" t="s">
        <v>34</v>
      </c>
      <c r="B232" t="s">
        <v>39</v>
      </c>
      <c r="C232" t="s">
        <v>28</v>
      </c>
      <c r="D232" t="s">
        <v>23</v>
      </c>
      <c r="E232" t="s">
        <v>24</v>
      </c>
      <c r="F232">
        <v>76</v>
      </c>
      <c r="G232">
        <v>64</v>
      </c>
      <c r="H232">
        <v>66</v>
      </c>
      <c r="J232">
        <v>76</v>
      </c>
      <c r="K232">
        <v>8.7177978869999997</v>
      </c>
      <c r="L232">
        <v>64</v>
      </c>
      <c r="M232">
        <v>76</v>
      </c>
      <c r="N232">
        <v>206</v>
      </c>
      <c r="O232">
        <v>68.666666669999998</v>
      </c>
      <c r="P232">
        <v>71</v>
      </c>
      <c r="Q232">
        <v>3</v>
      </c>
      <c r="R232">
        <v>8.2899999999999991</v>
      </c>
      <c r="S232" t="s">
        <v>30</v>
      </c>
      <c r="T232" t="s">
        <v>31</v>
      </c>
      <c r="U232">
        <v>12</v>
      </c>
    </row>
    <row r="233" spans="1:21" x14ac:dyDescent="0.25">
      <c r="A233" t="s">
        <v>34</v>
      </c>
      <c r="B233" t="s">
        <v>27</v>
      </c>
      <c r="C233" t="s">
        <v>36</v>
      </c>
      <c r="D233" t="s">
        <v>23</v>
      </c>
      <c r="E233" t="s">
        <v>24</v>
      </c>
      <c r="F233">
        <v>46</v>
      </c>
      <c r="G233">
        <v>43</v>
      </c>
      <c r="H233">
        <v>42</v>
      </c>
      <c r="J233">
        <v>46</v>
      </c>
      <c r="K233">
        <v>6.7823299830000003</v>
      </c>
      <c r="L233">
        <v>42</v>
      </c>
      <c r="M233">
        <v>46</v>
      </c>
      <c r="N233">
        <v>131</v>
      </c>
      <c r="O233">
        <v>43.666666669999998</v>
      </c>
      <c r="P233">
        <v>44.5</v>
      </c>
      <c r="Q233">
        <v>4</v>
      </c>
      <c r="R233">
        <v>6.61</v>
      </c>
      <c r="S233" t="s">
        <v>38</v>
      </c>
      <c r="T233" t="s">
        <v>26</v>
      </c>
      <c r="U233">
        <v>18</v>
      </c>
    </row>
    <row r="234" spans="1:21" x14ac:dyDescent="0.25">
      <c r="A234" t="s">
        <v>20</v>
      </c>
      <c r="B234" t="s">
        <v>21</v>
      </c>
      <c r="C234" t="s">
        <v>22</v>
      </c>
      <c r="D234" t="s">
        <v>23</v>
      </c>
      <c r="E234" t="s">
        <v>24</v>
      </c>
      <c r="F234">
        <v>67</v>
      </c>
      <c r="G234">
        <v>86</v>
      </c>
      <c r="H234">
        <v>83</v>
      </c>
      <c r="J234">
        <v>67</v>
      </c>
      <c r="K234">
        <v>8.1853527719999999</v>
      </c>
      <c r="L234">
        <v>67</v>
      </c>
      <c r="M234">
        <v>86</v>
      </c>
      <c r="N234">
        <v>236</v>
      </c>
      <c r="O234">
        <v>78.666666669999998</v>
      </c>
      <c r="P234">
        <v>75</v>
      </c>
      <c r="Q234">
        <v>2</v>
      </c>
      <c r="R234">
        <v>8.8699999999999992</v>
      </c>
      <c r="S234" t="s">
        <v>25</v>
      </c>
      <c r="T234" t="s">
        <v>26</v>
      </c>
      <c r="U234">
        <v>17</v>
      </c>
    </row>
    <row r="235" spans="1:21" x14ac:dyDescent="0.25">
      <c r="A235" t="s">
        <v>34</v>
      </c>
      <c r="B235" t="s">
        <v>64</v>
      </c>
      <c r="C235" t="s">
        <v>50</v>
      </c>
      <c r="D235" t="s">
        <v>23</v>
      </c>
      <c r="E235" t="s">
        <v>24</v>
      </c>
      <c r="F235">
        <v>92</v>
      </c>
      <c r="G235">
        <v>87</v>
      </c>
      <c r="H235">
        <v>78</v>
      </c>
      <c r="J235">
        <v>92</v>
      </c>
      <c r="K235">
        <v>9.5916630470000008</v>
      </c>
      <c r="L235">
        <v>78</v>
      </c>
      <c r="M235">
        <v>92</v>
      </c>
      <c r="N235">
        <v>257</v>
      </c>
      <c r="O235">
        <v>85.666666669999998</v>
      </c>
      <c r="P235">
        <v>89.5</v>
      </c>
      <c r="Q235">
        <v>4</v>
      </c>
      <c r="R235">
        <v>9.26</v>
      </c>
      <c r="S235" t="s">
        <v>30</v>
      </c>
      <c r="T235" t="s">
        <v>42</v>
      </c>
      <c r="U235">
        <v>16</v>
      </c>
    </row>
    <row r="236" spans="1:21" x14ac:dyDescent="0.25">
      <c r="A236" t="s">
        <v>34</v>
      </c>
      <c r="B236" t="s">
        <v>27</v>
      </c>
      <c r="C236" t="s">
        <v>22</v>
      </c>
      <c r="D236" t="s">
        <v>23</v>
      </c>
      <c r="E236" t="s">
        <v>29</v>
      </c>
      <c r="F236">
        <v>83</v>
      </c>
      <c r="G236">
        <v>82</v>
      </c>
      <c r="H236">
        <v>84</v>
      </c>
      <c r="J236">
        <v>83</v>
      </c>
      <c r="K236">
        <v>9.1104335790000004</v>
      </c>
      <c r="L236">
        <v>82</v>
      </c>
      <c r="M236">
        <v>84</v>
      </c>
      <c r="N236">
        <v>249</v>
      </c>
      <c r="O236">
        <v>83</v>
      </c>
      <c r="P236">
        <v>83</v>
      </c>
      <c r="Q236">
        <v>1</v>
      </c>
      <c r="R236">
        <v>9.11</v>
      </c>
      <c r="S236" t="s">
        <v>25</v>
      </c>
      <c r="T236" t="s">
        <v>26</v>
      </c>
      <c r="U236">
        <v>17</v>
      </c>
    </row>
    <row r="237" spans="1:21" x14ac:dyDescent="0.25">
      <c r="A237" t="s">
        <v>34</v>
      </c>
      <c r="B237" t="s">
        <v>39</v>
      </c>
      <c r="C237" t="s">
        <v>36</v>
      </c>
      <c r="D237" t="s">
        <v>23</v>
      </c>
      <c r="E237" t="s">
        <v>24</v>
      </c>
      <c r="F237">
        <v>80</v>
      </c>
      <c r="G237">
        <v>75</v>
      </c>
      <c r="H237">
        <v>77</v>
      </c>
      <c r="J237">
        <v>80</v>
      </c>
      <c r="K237">
        <v>8.9442719099999994</v>
      </c>
      <c r="L237">
        <v>75</v>
      </c>
      <c r="M237">
        <v>80</v>
      </c>
      <c r="N237">
        <v>232</v>
      </c>
      <c r="O237">
        <v>77.333333330000002</v>
      </c>
      <c r="P237">
        <v>78.5</v>
      </c>
      <c r="Q237">
        <v>3</v>
      </c>
      <c r="R237">
        <v>8.7899999999999991</v>
      </c>
      <c r="S237" t="s">
        <v>38</v>
      </c>
      <c r="T237" t="s">
        <v>26</v>
      </c>
      <c r="U237">
        <v>18</v>
      </c>
    </row>
    <row r="238" spans="1:21" x14ac:dyDescent="0.25">
      <c r="A238" t="s">
        <v>34</v>
      </c>
      <c r="B238" t="s">
        <v>39</v>
      </c>
      <c r="C238" t="s">
        <v>22</v>
      </c>
      <c r="D238" t="s">
        <v>37</v>
      </c>
      <c r="E238" t="s">
        <v>24</v>
      </c>
      <c r="F238">
        <v>63</v>
      </c>
      <c r="G238">
        <v>66</v>
      </c>
      <c r="H238">
        <v>67</v>
      </c>
      <c r="J238">
        <v>63</v>
      </c>
      <c r="K238">
        <v>7.937253933</v>
      </c>
      <c r="L238">
        <v>63</v>
      </c>
      <c r="M238">
        <v>67</v>
      </c>
      <c r="N238">
        <v>196</v>
      </c>
      <c r="O238">
        <v>65.333333330000002</v>
      </c>
      <c r="P238">
        <v>64.5</v>
      </c>
      <c r="Q238">
        <v>1</v>
      </c>
      <c r="R238">
        <v>8.08</v>
      </c>
      <c r="S238" t="s">
        <v>25</v>
      </c>
      <c r="T238" t="s">
        <v>26</v>
      </c>
      <c r="U238">
        <v>17</v>
      </c>
    </row>
    <row r="239" spans="1:21" x14ac:dyDescent="0.25">
      <c r="A239" t="s">
        <v>20</v>
      </c>
      <c r="B239" t="s">
        <v>39</v>
      </c>
      <c r="C239" t="s">
        <v>50</v>
      </c>
      <c r="D239" t="s">
        <v>23</v>
      </c>
      <c r="E239" t="s">
        <v>29</v>
      </c>
      <c r="F239">
        <v>64</v>
      </c>
      <c r="G239">
        <v>60</v>
      </c>
      <c r="H239">
        <v>74</v>
      </c>
      <c r="J239">
        <v>64</v>
      </c>
      <c r="K239">
        <v>8</v>
      </c>
      <c r="L239">
        <v>60</v>
      </c>
      <c r="M239">
        <v>74</v>
      </c>
      <c r="N239">
        <v>198</v>
      </c>
      <c r="O239">
        <v>66</v>
      </c>
      <c r="P239">
        <v>64</v>
      </c>
      <c r="Q239">
        <v>1</v>
      </c>
      <c r="R239">
        <v>8.1199999999999992</v>
      </c>
      <c r="S239" t="s">
        <v>30</v>
      </c>
      <c r="T239" t="s">
        <v>42</v>
      </c>
      <c r="U239">
        <v>16</v>
      </c>
    </row>
    <row r="240" spans="1:21" x14ac:dyDescent="0.25">
      <c r="A240" t="s">
        <v>34</v>
      </c>
      <c r="B240" t="s">
        <v>21</v>
      </c>
      <c r="C240" t="s">
        <v>28</v>
      </c>
      <c r="D240" t="s">
        <v>23</v>
      </c>
      <c r="E240" t="s">
        <v>24</v>
      </c>
      <c r="F240">
        <v>54</v>
      </c>
      <c r="G240">
        <v>52</v>
      </c>
      <c r="H240">
        <v>51</v>
      </c>
      <c r="J240">
        <v>54</v>
      </c>
      <c r="K240">
        <v>7.3484692279999999</v>
      </c>
      <c r="L240">
        <v>51</v>
      </c>
      <c r="M240">
        <v>54</v>
      </c>
      <c r="N240">
        <v>157</v>
      </c>
      <c r="O240">
        <v>52.333333330000002</v>
      </c>
      <c r="P240">
        <v>53</v>
      </c>
      <c r="Q240">
        <v>4</v>
      </c>
      <c r="R240">
        <v>7.23</v>
      </c>
      <c r="S240" t="s">
        <v>30</v>
      </c>
      <c r="T240" t="s">
        <v>31</v>
      </c>
      <c r="U240">
        <v>12</v>
      </c>
    </row>
    <row r="241" spans="1:21" x14ac:dyDescent="0.25">
      <c r="A241" t="s">
        <v>34</v>
      </c>
      <c r="B241" t="s">
        <v>27</v>
      </c>
      <c r="C241" t="s">
        <v>36</v>
      </c>
      <c r="D241" t="s">
        <v>23</v>
      </c>
      <c r="E241" t="s">
        <v>24</v>
      </c>
      <c r="F241">
        <v>84</v>
      </c>
      <c r="G241">
        <v>80</v>
      </c>
      <c r="H241">
        <v>80</v>
      </c>
      <c r="J241">
        <v>84</v>
      </c>
      <c r="K241">
        <v>9.1651513900000001</v>
      </c>
      <c r="L241">
        <v>80</v>
      </c>
      <c r="M241">
        <v>84</v>
      </c>
      <c r="N241">
        <v>244</v>
      </c>
      <c r="O241">
        <v>81.333333330000002</v>
      </c>
      <c r="P241">
        <v>82</v>
      </c>
      <c r="Q241">
        <v>3</v>
      </c>
      <c r="R241">
        <v>9.02</v>
      </c>
      <c r="S241" t="s">
        <v>38</v>
      </c>
      <c r="T241" t="s">
        <v>26</v>
      </c>
      <c r="U241">
        <v>18</v>
      </c>
    </row>
    <row r="242" spans="1:21" x14ac:dyDescent="0.25">
      <c r="A242" t="s">
        <v>34</v>
      </c>
      <c r="B242" t="s">
        <v>39</v>
      </c>
      <c r="C242" t="s">
        <v>40</v>
      </c>
      <c r="D242" t="s">
        <v>37</v>
      </c>
      <c r="E242" t="s">
        <v>29</v>
      </c>
      <c r="F242">
        <v>73</v>
      </c>
      <c r="G242">
        <v>68</v>
      </c>
      <c r="H242">
        <v>66</v>
      </c>
      <c r="J242">
        <v>73</v>
      </c>
      <c r="K242">
        <v>8.5440037449999995</v>
      </c>
      <c r="L242">
        <v>66</v>
      </c>
      <c r="M242">
        <v>73</v>
      </c>
      <c r="N242">
        <v>207</v>
      </c>
      <c r="O242">
        <v>69</v>
      </c>
      <c r="P242">
        <v>70.5</v>
      </c>
      <c r="Q242">
        <v>4</v>
      </c>
      <c r="R242">
        <v>8.31</v>
      </c>
      <c r="S242" t="s">
        <v>41</v>
      </c>
      <c r="T242" t="s">
        <v>42</v>
      </c>
      <c r="U242">
        <v>11</v>
      </c>
    </row>
    <row r="243" spans="1:21" x14ac:dyDescent="0.25">
      <c r="A243" t="s">
        <v>20</v>
      </c>
      <c r="B243" t="s">
        <v>64</v>
      </c>
      <c r="C243" t="s">
        <v>22</v>
      </c>
      <c r="D243" t="s">
        <v>23</v>
      </c>
      <c r="E243" t="s">
        <v>24</v>
      </c>
      <c r="F243">
        <v>80</v>
      </c>
      <c r="G243">
        <v>83</v>
      </c>
      <c r="H243">
        <v>83</v>
      </c>
      <c r="J243">
        <v>80</v>
      </c>
      <c r="K243">
        <v>8.9442719099999994</v>
      </c>
      <c r="L243">
        <v>80</v>
      </c>
      <c r="M243">
        <v>83</v>
      </c>
      <c r="N243">
        <v>246</v>
      </c>
      <c r="O243">
        <v>82</v>
      </c>
      <c r="P243">
        <v>81.5</v>
      </c>
      <c r="Q243">
        <v>1</v>
      </c>
      <c r="R243">
        <v>9.06</v>
      </c>
      <c r="S243" t="s">
        <v>25</v>
      </c>
      <c r="T243" t="s">
        <v>26</v>
      </c>
      <c r="U243">
        <v>17</v>
      </c>
    </row>
    <row r="244" spans="1:21" x14ac:dyDescent="0.25">
      <c r="A244" t="s">
        <v>20</v>
      </c>
      <c r="B244" t="s">
        <v>39</v>
      </c>
      <c r="C244" t="s">
        <v>40</v>
      </c>
      <c r="D244" t="s">
        <v>23</v>
      </c>
      <c r="E244" t="s">
        <v>24</v>
      </c>
      <c r="F244">
        <v>56</v>
      </c>
      <c r="G244">
        <v>52</v>
      </c>
      <c r="H244">
        <v>55</v>
      </c>
      <c r="J244">
        <v>56</v>
      </c>
      <c r="K244">
        <v>7.4833147740000001</v>
      </c>
      <c r="L244">
        <v>52</v>
      </c>
      <c r="M244">
        <v>56</v>
      </c>
      <c r="N244">
        <v>163</v>
      </c>
      <c r="O244">
        <v>54.333333330000002</v>
      </c>
      <c r="P244">
        <v>55.5</v>
      </c>
      <c r="Q244">
        <v>3</v>
      </c>
      <c r="R244">
        <v>7.37</v>
      </c>
      <c r="S244" t="s">
        <v>41</v>
      </c>
      <c r="T244" t="s">
        <v>42</v>
      </c>
      <c r="U244">
        <v>11</v>
      </c>
    </row>
    <row r="245" spans="1:21" x14ac:dyDescent="0.25">
      <c r="A245" t="s">
        <v>34</v>
      </c>
      <c r="B245" t="s">
        <v>64</v>
      </c>
      <c r="C245" t="s">
        <v>28</v>
      </c>
      <c r="D245" t="s">
        <v>23</v>
      </c>
      <c r="E245" t="s">
        <v>24</v>
      </c>
      <c r="F245">
        <v>59</v>
      </c>
      <c r="G245">
        <v>51</v>
      </c>
      <c r="H245">
        <v>43</v>
      </c>
      <c r="J245">
        <v>59</v>
      </c>
      <c r="K245">
        <v>7.6811457479999996</v>
      </c>
      <c r="L245">
        <v>43</v>
      </c>
      <c r="M245">
        <v>59</v>
      </c>
      <c r="N245">
        <v>153</v>
      </c>
      <c r="O245">
        <v>51</v>
      </c>
      <c r="P245">
        <v>55</v>
      </c>
      <c r="Q245">
        <v>4</v>
      </c>
      <c r="R245">
        <v>7.14</v>
      </c>
      <c r="S245" t="s">
        <v>30</v>
      </c>
      <c r="T245" t="s">
        <v>31</v>
      </c>
      <c r="U245">
        <v>12</v>
      </c>
    </row>
    <row r="246" spans="1:21" x14ac:dyDescent="0.25">
      <c r="A246" t="s">
        <v>34</v>
      </c>
      <c r="B246" t="s">
        <v>39</v>
      </c>
      <c r="C246" t="s">
        <v>50</v>
      </c>
      <c r="D246" t="s">
        <v>23</v>
      </c>
      <c r="E246" t="s">
        <v>24</v>
      </c>
      <c r="F246">
        <v>75</v>
      </c>
      <c r="G246">
        <v>74</v>
      </c>
      <c r="H246">
        <v>69</v>
      </c>
      <c r="J246">
        <v>75</v>
      </c>
      <c r="K246">
        <v>8.6602540379999997</v>
      </c>
      <c r="L246">
        <v>69</v>
      </c>
      <c r="M246">
        <v>75</v>
      </c>
      <c r="N246">
        <v>218</v>
      </c>
      <c r="O246">
        <v>72.666666669999998</v>
      </c>
      <c r="P246">
        <v>74.5</v>
      </c>
      <c r="Q246">
        <v>4</v>
      </c>
      <c r="R246">
        <v>8.52</v>
      </c>
      <c r="S246" t="s">
        <v>30</v>
      </c>
      <c r="T246" t="s">
        <v>42</v>
      </c>
      <c r="U246">
        <v>16</v>
      </c>
    </row>
    <row r="247" spans="1:21" x14ac:dyDescent="0.25">
      <c r="A247" t="s">
        <v>34</v>
      </c>
      <c r="B247" t="s">
        <v>27</v>
      </c>
      <c r="C247" t="s">
        <v>36</v>
      </c>
      <c r="D247" t="s">
        <v>23</v>
      </c>
      <c r="E247" t="s">
        <v>24</v>
      </c>
      <c r="F247">
        <v>85</v>
      </c>
      <c r="G247">
        <v>76</v>
      </c>
      <c r="H247">
        <v>71</v>
      </c>
      <c r="J247">
        <v>85</v>
      </c>
      <c r="K247">
        <v>9.2195444569999996</v>
      </c>
      <c r="L247">
        <v>71</v>
      </c>
      <c r="M247">
        <v>85</v>
      </c>
      <c r="N247">
        <v>232</v>
      </c>
      <c r="O247">
        <v>77.333333330000002</v>
      </c>
      <c r="P247">
        <v>80.5</v>
      </c>
      <c r="Q247">
        <v>4</v>
      </c>
      <c r="R247">
        <v>8.7899999999999991</v>
      </c>
      <c r="S247" t="s">
        <v>38</v>
      </c>
      <c r="T247" t="s">
        <v>26</v>
      </c>
      <c r="U247">
        <v>18</v>
      </c>
    </row>
    <row r="248" spans="1:21" x14ac:dyDescent="0.25">
      <c r="A248" t="s">
        <v>34</v>
      </c>
      <c r="B248" t="s">
        <v>64</v>
      </c>
      <c r="C248" t="s">
        <v>36</v>
      </c>
      <c r="D248" t="s">
        <v>23</v>
      </c>
      <c r="E248" t="s">
        <v>24</v>
      </c>
      <c r="F248">
        <v>89</v>
      </c>
      <c r="G248">
        <v>76</v>
      </c>
      <c r="H248">
        <v>74</v>
      </c>
      <c r="J248">
        <v>89</v>
      </c>
      <c r="K248">
        <v>9.4339811319999995</v>
      </c>
      <c r="L248">
        <v>74</v>
      </c>
      <c r="M248">
        <v>89</v>
      </c>
      <c r="N248">
        <v>239</v>
      </c>
      <c r="O248">
        <v>79.666666669999998</v>
      </c>
      <c r="P248">
        <v>82.5</v>
      </c>
      <c r="Q248">
        <v>4</v>
      </c>
      <c r="R248">
        <v>8.93</v>
      </c>
      <c r="S248" t="s">
        <v>38</v>
      </c>
      <c r="T248" t="s">
        <v>26</v>
      </c>
      <c r="U248">
        <v>18</v>
      </c>
    </row>
    <row r="249" spans="1:21" x14ac:dyDescent="0.25">
      <c r="A249" t="s">
        <v>20</v>
      </c>
      <c r="B249" t="s">
        <v>21</v>
      </c>
      <c r="C249" t="s">
        <v>40</v>
      </c>
      <c r="D249" t="s">
        <v>23</v>
      </c>
      <c r="E249" t="s">
        <v>29</v>
      </c>
      <c r="F249">
        <v>58</v>
      </c>
      <c r="G249">
        <v>70</v>
      </c>
      <c r="H249">
        <v>68</v>
      </c>
      <c r="J249">
        <v>58</v>
      </c>
      <c r="K249">
        <v>7.6157731059999998</v>
      </c>
      <c r="L249">
        <v>58</v>
      </c>
      <c r="M249">
        <v>70</v>
      </c>
      <c r="N249">
        <v>196</v>
      </c>
      <c r="O249">
        <v>65.333333330000002</v>
      </c>
      <c r="P249">
        <v>63</v>
      </c>
      <c r="Q249">
        <v>2</v>
      </c>
      <c r="R249">
        <v>8.08</v>
      </c>
      <c r="S249" t="s">
        <v>41</v>
      </c>
      <c r="T249" t="s">
        <v>42</v>
      </c>
      <c r="U249">
        <v>11</v>
      </c>
    </row>
    <row r="250" spans="1:21" x14ac:dyDescent="0.25">
      <c r="A250" t="s">
        <v>20</v>
      </c>
      <c r="B250" t="s">
        <v>21</v>
      </c>
      <c r="C250" t="s">
        <v>40</v>
      </c>
      <c r="D250" t="s">
        <v>23</v>
      </c>
      <c r="E250" t="s">
        <v>24</v>
      </c>
      <c r="F250">
        <v>65</v>
      </c>
      <c r="G250">
        <v>64</v>
      </c>
      <c r="H250">
        <v>62</v>
      </c>
      <c r="J250">
        <v>65</v>
      </c>
      <c r="K250">
        <v>8.0622577480000004</v>
      </c>
      <c r="L250">
        <v>62</v>
      </c>
      <c r="M250">
        <v>65</v>
      </c>
      <c r="N250">
        <v>191</v>
      </c>
      <c r="O250">
        <v>63.666666669999998</v>
      </c>
      <c r="P250">
        <v>64.5</v>
      </c>
      <c r="Q250">
        <v>4</v>
      </c>
      <c r="R250">
        <v>7.98</v>
      </c>
      <c r="S250" t="s">
        <v>41</v>
      </c>
      <c r="T250" t="s">
        <v>42</v>
      </c>
      <c r="U250">
        <v>11</v>
      </c>
    </row>
    <row r="251" spans="1:21" x14ac:dyDescent="0.25">
      <c r="A251" t="s">
        <v>34</v>
      </c>
      <c r="B251" t="s">
        <v>27</v>
      </c>
      <c r="C251" t="s">
        <v>40</v>
      </c>
      <c r="D251" t="s">
        <v>23</v>
      </c>
      <c r="E251" t="s">
        <v>24</v>
      </c>
      <c r="F251">
        <v>68</v>
      </c>
      <c r="G251">
        <v>60</v>
      </c>
      <c r="H251">
        <v>53</v>
      </c>
      <c r="J251">
        <v>68</v>
      </c>
      <c r="K251">
        <v>8.2462112510000001</v>
      </c>
      <c r="L251">
        <v>53</v>
      </c>
      <c r="M251">
        <v>68</v>
      </c>
      <c r="N251">
        <v>181</v>
      </c>
      <c r="O251">
        <v>60.333333330000002</v>
      </c>
      <c r="P251">
        <v>64</v>
      </c>
      <c r="Q251">
        <v>4</v>
      </c>
      <c r="R251">
        <v>7.77</v>
      </c>
      <c r="S251" t="s">
        <v>41</v>
      </c>
      <c r="T251" t="s">
        <v>42</v>
      </c>
      <c r="U251">
        <v>11</v>
      </c>
    </row>
    <row r="252" spans="1:21" x14ac:dyDescent="0.25">
      <c r="A252" t="s">
        <v>34</v>
      </c>
      <c r="B252" t="s">
        <v>35</v>
      </c>
      <c r="C252" t="s">
        <v>50</v>
      </c>
      <c r="D252" t="s">
        <v>23</v>
      </c>
      <c r="E252" t="s">
        <v>29</v>
      </c>
      <c r="F252">
        <v>47</v>
      </c>
      <c r="G252">
        <v>49</v>
      </c>
      <c r="H252">
        <v>49</v>
      </c>
      <c r="J252">
        <v>47</v>
      </c>
      <c r="K252">
        <v>6.8556546000000003</v>
      </c>
      <c r="L252">
        <v>47</v>
      </c>
      <c r="M252">
        <v>49</v>
      </c>
      <c r="N252">
        <v>145</v>
      </c>
      <c r="O252">
        <v>48.333333330000002</v>
      </c>
      <c r="P252">
        <v>48</v>
      </c>
      <c r="Q252">
        <v>1</v>
      </c>
      <c r="R252">
        <v>6.95</v>
      </c>
      <c r="S252" t="s">
        <v>30</v>
      </c>
      <c r="T252" t="s">
        <v>42</v>
      </c>
      <c r="U252">
        <v>16</v>
      </c>
    </row>
    <row r="253" spans="1:21" x14ac:dyDescent="0.25">
      <c r="A253" t="s">
        <v>20</v>
      </c>
      <c r="B253" t="s">
        <v>39</v>
      </c>
      <c r="C253" t="s">
        <v>28</v>
      </c>
      <c r="D253" t="s">
        <v>37</v>
      </c>
      <c r="E253" t="s">
        <v>24</v>
      </c>
      <c r="F253">
        <v>71</v>
      </c>
      <c r="G253">
        <v>83</v>
      </c>
      <c r="H253">
        <v>83</v>
      </c>
      <c r="J253">
        <v>71</v>
      </c>
      <c r="K253">
        <v>8.4261497730000006</v>
      </c>
      <c r="L253">
        <v>71</v>
      </c>
      <c r="M253">
        <v>83</v>
      </c>
      <c r="N253">
        <v>237</v>
      </c>
      <c r="O253">
        <v>79</v>
      </c>
      <c r="P253">
        <v>77</v>
      </c>
      <c r="Q253">
        <v>1</v>
      </c>
      <c r="R253">
        <v>8.89</v>
      </c>
      <c r="S253" t="s">
        <v>30</v>
      </c>
      <c r="T253" t="s">
        <v>31</v>
      </c>
      <c r="U253">
        <v>12</v>
      </c>
    </row>
    <row r="254" spans="1:21" x14ac:dyDescent="0.25">
      <c r="A254" t="s">
        <v>20</v>
      </c>
      <c r="B254" t="s">
        <v>21</v>
      </c>
      <c r="C254" t="s">
        <v>50</v>
      </c>
      <c r="D254" t="s">
        <v>23</v>
      </c>
      <c r="E254" t="s">
        <v>29</v>
      </c>
      <c r="F254">
        <v>60</v>
      </c>
      <c r="G254">
        <v>70</v>
      </c>
      <c r="H254">
        <v>70</v>
      </c>
      <c r="J254">
        <v>60</v>
      </c>
      <c r="K254">
        <v>7.7459666919999997</v>
      </c>
      <c r="L254">
        <v>60</v>
      </c>
      <c r="M254">
        <v>70</v>
      </c>
      <c r="N254">
        <v>200</v>
      </c>
      <c r="O254">
        <v>66.666666669999998</v>
      </c>
      <c r="P254">
        <v>65</v>
      </c>
      <c r="Q254">
        <v>1</v>
      </c>
      <c r="R254">
        <v>8.16</v>
      </c>
      <c r="S254" t="s">
        <v>30</v>
      </c>
      <c r="T254" t="s">
        <v>42</v>
      </c>
      <c r="U254">
        <v>16</v>
      </c>
    </row>
    <row r="255" spans="1:21" x14ac:dyDescent="0.25">
      <c r="A255" t="s">
        <v>34</v>
      </c>
      <c r="B255" t="s">
        <v>39</v>
      </c>
      <c r="C255" t="s">
        <v>32</v>
      </c>
      <c r="D255" t="s">
        <v>23</v>
      </c>
      <c r="E255" t="s">
        <v>24</v>
      </c>
      <c r="F255">
        <v>80</v>
      </c>
      <c r="G255">
        <v>80</v>
      </c>
      <c r="H255">
        <v>72</v>
      </c>
      <c r="J255">
        <v>80</v>
      </c>
      <c r="K255">
        <v>8.9442719099999994</v>
      </c>
      <c r="L255">
        <v>72</v>
      </c>
      <c r="M255">
        <v>80</v>
      </c>
      <c r="N255">
        <v>232</v>
      </c>
      <c r="O255">
        <v>77.333333330000002</v>
      </c>
      <c r="P255">
        <v>80</v>
      </c>
      <c r="Q255">
        <v>4</v>
      </c>
      <c r="R255">
        <v>8.7899999999999991</v>
      </c>
      <c r="S255" t="s">
        <v>33</v>
      </c>
      <c r="T255" t="s">
        <v>26</v>
      </c>
      <c r="U255">
        <v>15</v>
      </c>
    </row>
    <row r="256" spans="1:21" x14ac:dyDescent="0.25">
      <c r="A256" t="s">
        <v>34</v>
      </c>
      <c r="B256" t="s">
        <v>39</v>
      </c>
      <c r="C256" t="s">
        <v>40</v>
      </c>
      <c r="D256" t="s">
        <v>23</v>
      </c>
      <c r="E256" t="s">
        <v>24</v>
      </c>
      <c r="F256">
        <v>54</v>
      </c>
      <c r="G256">
        <v>52</v>
      </c>
      <c r="H256">
        <v>52</v>
      </c>
      <c r="J256">
        <v>54</v>
      </c>
      <c r="K256">
        <v>7.3484692279999999</v>
      </c>
      <c r="L256">
        <v>52</v>
      </c>
      <c r="M256">
        <v>54</v>
      </c>
      <c r="N256">
        <v>158</v>
      </c>
      <c r="O256">
        <v>52.666666669999998</v>
      </c>
      <c r="P256">
        <v>53</v>
      </c>
      <c r="Q256">
        <v>3</v>
      </c>
      <c r="R256">
        <v>7.26</v>
      </c>
      <c r="S256" t="s">
        <v>41</v>
      </c>
      <c r="T256" t="s">
        <v>42</v>
      </c>
      <c r="U256">
        <v>11</v>
      </c>
    </row>
    <row r="257" spans="1:21" x14ac:dyDescent="0.25">
      <c r="A257" t="s">
        <v>20</v>
      </c>
      <c r="B257" t="s">
        <v>64</v>
      </c>
      <c r="C257" t="s">
        <v>28</v>
      </c>
      <c r="D257" t="s">
        <v>23</v>
      </c>
      <c r="E257" t="s">
        <v>24</v>
      </c>
      <c r="F257">
        <v>62</v>
      </c>
      <c r="G257">
        <v>73</v>
      </c>
      <c r="H257">
        <v>70</v>
      </c>
      <c r="J257">
        <v>62</v>
      </c>
      <c r="K257">
        <v>7.8740078740000001</v>
      </c>
      <c r="L257">
        <v>62</v>
      </c>
      <c r="M257">
        <v>73</v>
      </c>
      <c r="N257">
        <v>205</v>
      </c>
      <c r="O257">
        <v>68.333333330000002</v>
      </c>
      <c r="P257">
        <v>66</v>
      </c>
      <c r="Q257">
        <v>2</v>
      </c>
      <c r="R257">
        <v>8.27</v>
      </c>
      <c r="S257" t="s">
        <v>30</v>
      </c>
      <c r="T257" t="s">
        <v>31</v>
      </c>
      <c r="U257">
        <v>12</v>
      </c>
    </row>
    <row r="258" spans="1:21" x14ac:dyDescent="0.25">
      <c r="A258" t="s">
        <v>20</v>
      </c>
      <c r="B258" t="s">
        <v>27</v>
      </c>
      <c r="C258" t="s">
        <v>36</v>
      </c>
      <c r="D258" t="s">
        <v>37</v>
      </c>
      <c r="E258" t="s">
        <v>24</v>
      </c>
      <c r="F258">
        <v>64</v>
      </c>
      <c r="G258">
        <v>73</v>
      </c>
      <c r="H258">
        <v>68</v>
      </c>
      <c r="J258">
        <v>64</v>
      </c>
      <c r="K258">
        <v>8</v>
      </c>
      <c r="L258">
        <v>64</v>
      </c>
      <c r="M258">
        <v>73</v>
      </c>
      <c r="N258">
        <v>205</v>
      </c>
      <c r="O258">
        <v>68.333333330000002</v>
      </c>
      <c r="P258">
        <v>66</v>
      </c>
      <c r="Q258">
        <v>2</v>
      </c>
      <c r="R258">
        <v>8.27</v>
      </c>
      <c r="S258" t="s">
        <v>38</v>
      </c>
      <c r="T258" t="s">
        <v>26</v>
      </c>
      <c r="U258">
        <v>18</v>
      </c>
    </row>
    <row r="259" spans="1:21" x14ac:dyDescent="0.25">
      <c r="A259" t="s">
        <v>34</v>
      </c>
      <c r="B259" t="s">
        <v>27</v>
      </c>
      <c r="C259" t="s">
        <v>36</v>
      </c>
      <c r="D259" t="s">
        <v>23</v>
      </c>
      <c r="E259" t="s">
        <v>29</v>
      </c>
      <c r="F259">
        <v>78</v>
      </c>
      <c r="G259">
        <v>77</v>
      </c>
      <c r="H259">
        <v>77</v>
      </c>
      <c r="J259">
        <v>78</v>
      </c>
      <c r="K259">
        <v>8.8317608659999998</v>
      </c>
      <c r="L259">
        <v>77</v>
      </c>
      <c r="M259">
        <v>78</v>
      </c>
      <c r="N259">
        <v>232</v>
      </c>
      <c r="O259">
        <v>77.333333330000002</v>
      </c>
      <c r="P259">
        <v>77.5</v>
      </c>
      <c r="Q259">
        <v>3</v>
      </c>
      <c r="R259">
        <v>8.7899999999999991</v>
      </c>
      <c r="S259" t="s">
        <v>38</v>
      </c>
      <c r="T259" t="s">
        <v>26</v>
      </c>
      <c r="U259">
        <v>18</v>
      </c>
    </row>
    <row r="260" spans="1:21" x14ac:dyDescent="0.25">
      <c r="A260" t="s">
        <v>20</v>
      </c>
      <c r="B260" t="s">
        <v>21</v>
      </c>
      <c r="C260" t="s">
        <v>28</v>
      </c>
      <c r="D260" t="s">
        <v>23</v>
      </c>
      <c r="E260" t="s">
        <v>24</v>
      </c>
      <c r="F260">
        <v>70</v>
      </c>
      <c r="G260">
        <v>75</v>
      </c>
      <c r="H260">
        <v>78</v>
      </c>
      <c r="J260">
        <v>70</v>
      </c>
      <c r="K260">
        <v>8.3666002650000006</v>
      </c>
      <c r="L260">
        <v>70</v>
      </c>
      <c r="M260">
        <v>78</v>
      </c>
      <c r="N260">
        <v>223</v>
      </c>
      <c r="O260">
        <v>74.333333330000002</v>
      </c>
      <c r="P260">
        <v>72.5</v>
      </c>
      <c r="Q260">
        <v>1</v>
      </c>
      <c r="R260">
        <v>8.6199999999999992</v>
      </c>
      <c r="S260" t="s">
        <v>30</v>
      </c>
      <c r="T260" t="s">
        <v>31</v>
      </c>
      <c r="U260">
        <v>12</v>
      </c>
    </row>
    <row r="261" spans="1:21" x14ac:dyDescent="0.25">
      <c r="A261" t="s">
        <v>20</v>
      </c>
      <c r="B261" t="s">
        <v>27</v>
      </c>
      <c r="C261" t="s">
        <v>32</v>
      </c>
      <c r="D261" t="s">
        <v>37</v>
      </c>
      <c r="E261" t="s">
        <v>29</v>
      </c>
      <c r="F261">
        <v>65</v>
      </c>
      <c r="G261">
        <v>81</v>
      </c>
      <c r="H261">
        <v>81</v>
      </c>
      <c r="J261">
        <v>65</v>
      </c>
      <c r="K261">
        <v>8.0622577480000004</v>
      </c>
      <c r="L261">
        <v>65</v>
      </c>
      <c r="M261">
        <v>81</v>
      </c>
      <c r="N261">
        <v>227</v>
      </c>
      <c r="O261">
        <v>75.666666669999998</v>
      </c>
      <c r="P261">
        <v>73</v>
      </c>
      <c r="Q261">
        <v>1</v>
      </c>
      <c r="R261">
        <v>8.6999999999999993</v>
      </c>
      <c r="S261" t="s">
        <v>33</v>
      </c>
      <c r="T261" t="s">
        <v>26</v>
      </c>
      <c r="U261">
        <v>15</v>
      </c>
    </row>
    <row r="262" spans="1:21" x14ac:dyDescent="0.25">
      <c r="A262" t="s">
        <v>20</v>
      </c>
      <c r="B262" t="s">
        <v>27</v>
      </c>
      <c r="C262" t="s">
        <v>50</v>
      </c>
      <c r="D262" t="s">
        <v>37</v>
      </c>
      <c r="E262" t="s">
        <v>29</v>
      </c>
      <c r="F262">
        <v>64</v>
      </c>
      <c r="G262">
        <v>79</v>
      </c>
      <c r="H262">
        <v>77</v>
      </c>
      <c r="J262">
        <v>64</v>
      </c>
      <c r="K262">
        <v>8</v>
      </c>
      <c r="L262">
        <v>64</v>
      </c>
      <c r="M262">
        <v>79</v>
      </c>
      <c r="N262">
        <v>220</v>
      </c>
      <c r="O262">
        <v>73.333333330000002</v>
      </c>
      <c r="P262">
        <v>70.5</v>
      </c>
      <c r="Q262">
        <v>2</v>
      </c>
      <c r="R262">
        <v>8.56</v>
      </c>
      <c r="S262" t="s">
        <v>30</v>
      </c>
      <c r="T262" t="s">
        <v>42</v>
      </c>
      <c r="U262">
        <v>16</v>
      </c>
    </row>
    <row r="263" spans="1:21" x14ac:dyDescent="0.25">
      <c r="A263" t="s">
        <v>34</v>
      </c>
      <c r="B263" t="s">
        <v>27</v>
      </c>
      <c r="C263" t="s">
        <v>28</v>
      </c>
      <c r="D263" t="s">
        <v>23</v>
      </c>
      <c r="E263" t="s">
        <v>29</v>
      </c>
      <c r="F263">
        <v>79</v>
      </c>
      <c r="G263">
        <v>79</v>
      </c>
      <c r="H263">
        <v>78</v>
      </c>
      <c r="J263">
        <v>79</v>
      </c>
      <c r="K263">
        <v>8.8881944169999993</v>
      </c>
      <c r="L263">
        <v>78</v>
      </c>
      <c r="M263">
        <v>79</v>
      </c>
      <c r="N263">
        <v>236</v>
      </c>
      <c r="O263">
        <v>78.666666669999998</v>
      </c>
      <c r="P263">
        <v>79</v>
      </c>
      <c r="Q263">
        <v>4</v>
      </c>
      <c r="R263">
        <v>8.8699999999999992</v>
      </c>
      <c r="S263" t="s">
        <v>30</v>
      </c>
      <c r="T263" t="s">
        <v>31</v>
      </c>
      <c r="U263">
        <v>12</v>
      </c>
    </row>
    <row r="264" spans="1:21" x14ac:dyDescent="0.25">
      <c r="A264" t="s">
        <v>20</v>
      </c>
      <c r="B264" t="s">
        <v>27</v>
      </c>
      <c r="C264" t="s">
        <v>50</v>
      </c>
      <c r="D264" t="s">
        <v>37</v>
      </c>
      <c r="E264" t="s">
        <v>24</v>
      </c>
      <c r="F264">
        <v>44</v>
      </c>
      <c r="G264">
        <v>50</v>
      </c>
      <c r="H264">
        <v>51</v>
      </c>
      <c r="J264">
        <v>44</v>
      </c>
      <c r="K264">
        <v>6.6332495810000003</v>
      </c>
      <c r="L264">
        <v>44</v>
      </c>
      <c r="M264">
        <v>51</v>
      </c>
      <c r="N264">
        <v>145</v>
      </c>
      <c r="O264">
        <v>48.333333330000002</v>
      </c>
      <c r="P264">
        <v>47</v>
      </c>
      <c r="Q264">
        <v>1</v>
      </c>
      <c r="R264">
        <v>6.95</v>
      </c>
      <c r="S264" t="s">
        <v>30</v>
      </c>
      <c r="T264" t="s">
        <v>42</v>
      </c>
      <c r="U264">
        <v>16</v>
      </c>
    </row>
    <row r="265" spans="1:21" x14ac:dyDescent="0.25">
      <c r="A265" t="s">
        <v>20</v>
      </c>
      <c r="B265" t="s">
        <v>64</v>
      </c>
      <c r="C265" t="s">
        <v>40</v>
      </c>
      <c r="D265" t="s">
        <v>23</v>
      </c>
      <c r="E265" t="s">
        <v>24</v>
      </c>
      <c r="F265">
        <v>99</v>
      </c>
      <c r="G265">
        <v>93</v>
      </c>
      <c r="H265">
        <v>90</v>
      </c>
      <c r="J265">
        <v>99</v>
      </c>
      <c r="K265">
        <v>9.9498743709999999</v>
      </c>
      <c r="L265">
        <v>90</v>
      </c>
      <c r="M265">
        <v>99</v>
      </c>
      <c r="N265">
        <v>282</v>
      </c>
      <c r="O265">
        <v>94</v>
      </c>
      <c r="P265">
        <v>96</v>
      </c>
      <c r="Q265">
        <v>4</v>
      </c>
      <c r="R265">
        <v>9.6999999999999993</v>
      </c>
      <c r="S265" t="s">
        <v>41</v>
      </c>
      <c r="T265" t="s">
        <v>42</v>
      </c>
      <c r="U265">
        <v>11</v>
      </c>
    </row>
    <row r="266" spans="1:21" x14ac:dyDescent="0.25">
      <c r="A266" t="s">
        <v>34</v>
      </c>
      <c r="B266" t="s">
        <v>39</v>
      </c>
      <c r="C266" t="s">
        <v>40</v>
      </c>
      <c r="D266" t="s">
        <v>23</v>
      </c>
      <c r="E266" t="s">
        <v>24</v>
      </c>
      <c r="F266">
        <v>76</v>
      </c>
      <c r="G266">
        <v>73</v>
      </c>
      <c r="H266">
        <v>68</v>
      </c>
      <c r="J266">
        <v>76</v>
      </c>
      <c r="K266">
        <v>8.7177978869999997</v>
      </c>
      <c r="L266">
        <v>68</v>
      </c>
      <c r="M266">
        <v>76</v>
      </c>
      <c r="N266">
        <v>217</v>
      </c>
      <c r="O266">
        <v>72.333333330000002</v>
      </c>
      <c r="P266">
        <v>74.5</v>
      </c>
      <c r="Q266">
        <v>4</v>
      </c>
      <c r="R266">
        <v>8.5</v>
      </c>
      <c r="S266" t="s">
        <v>41</v>
      </c>
      <c r="T266" t="s">
        <v>42</v>
      </c>
      <c r="U266">
        <v>11</v>
      </c>
    </row>
    <row r="267" spans="1:21" x14ac:dyDescent="0.25">
      <c r="A267" t="s">
        <v>34</v>
      </c>
      <c r="B267" t="s">
        <v>39</v>
      </c>
      <c r="C267" t="s">
        <v>50</v>
      </c>
      <c r="D267" t="s">
        <v>37</v>
      </c>
      <c r="E267" t="s">
        <v>24</v>
      </c>
      <c r="F267">
        <v>59</v>
      </c>
      <c r="G267">
        <v>42</v>
      </c>
      <c r="H267">
        <v>41</v>
      </c>
      <c r="J267">
        <v>59</v>
      </c>
      <c r="K267">
        <v>7.6811457479999996</v>
      </c>
      <c r="L267">
        <v>41</v>
      </c>
      <c r="M267">
        <v>59</v>
      </c>
      <c r="N267">
        <v>142</v>
      </c>
      <c r="O267">
        <v>47.333333330000002</v>
      </c>
      <c r="P267">
        <v>50.5</v>
      </c>
      <c r="Q267">
        <v>4</v>
      </c>
      <c r="R267">
        <v>6.88</v>
      </c>
      <c r="S267" t="s">
        <v>30</v>
      </c>
      <c r="T267" t="s">
        <v>42</v>
      </c>
      <c r="U267">
        <v>16</v>
      </c>
    </row>
    <row r="268" spans="1:21" x14ac:dyDescent="0.25">
      <c r="A268" t="s">
        <v>20</v>
      </c>
      <c r="B268" t="s">
        <v>27</v>
      </c>
      <c r="C268" t="s">
        <v>22</v>
      </c>
      <c r="D268" t="s">
        <v>23</v>
      </c>
      <c r="E268" t="s">
        <v>24</v>
      </c>
      <c r="F268">
        <v>63</v>
      </c>
      <c r="G268">
        <v>75</v>
      </c>
      <c r="H268">
        <v>81</v>
      </c>
      <c r="J268">
        <v>63</v>
      </c>
      <c r="K268">
        <v>7.937253933</v>
      </c>
      <c r="L268">
        <v>63</v>
      </c>
      <c r="M268">
        <v>81</v>
      </c>
      <c r="N268">
        <v>219</v>
      </c>
      <c r="O268">
        <v>73</v>
      </c>
      <c r="P268">
        <v>69</v>
      </c>
      <c r="Q268">
        <v>1</v>
      </c>
      <c r="R268">
        <v>8.5399999999999991</v>
      </c>
      <c r="S268" t="s">
        <v>25</v>
      </c>
      <c r="T268" t="s">
        <v>26</v>
      </c>
      <c r="U268">
        <v>17</v>
      </c>
    </row>
    <row r="269" spans="1:21" x14ac:dyDescent="0.25">
      <c r="A269" t="s">
        <v>20</v>
      </c>
      <c r="B269" t="s">
        <v>39</v>
      </c>
      <c r="C269" t="s">
        <v>40</v>
      </c>
      <c r="D269" t="s">
        <v>23</v>
      </c>
      <c r="E269" t="s">
        <v>24</v>
      </c>
      <c r="F269">
        <v>69</v>
      </c>
      <c r="G269">
        <v>72</v>
      </c>
      <c r="H269">
        <v>77</v>
      </c>
      <c r="J269">
        <v>69</v>
      </c>
      <c r="K269">
        <v>8.3066238630000004</v>
      </c>
      <c r="L269">
        <v>69</v>
      </c>
      <c r="M269">
        <v>77</v>
      </c>
      <c r="N269">
        <v>218</v>
      </c>
      <c r="O269">
        <v>72.666666669999998</v>
      </c>
      <c r="P269">
        <v>70.5</v>
      </c>
      <c r="Q269">
        <v>1</v>
      </c>
      <c r="R269">
        <v>8.52</v>
      </c>
      <c r="S269" t="s">
        <v>41</v>
      </c>
      <c r="T269" t="s">
        <v>42</v>
      </c>
      <c r="U269">
        <v>11</v>
      </c>
    </row>
    <row r="270" spans="1:21" x14ac:dyDescent="0.25">
      <c r="A270" t="s">
        <v>20</v>
      </c>
      <c r="B270" t="s">
        <v>39</v>
      </c>
      <c r="C270" t="s">
        <v>36</v>
      </c>
      <c r="D270" t="s">
        <v>23</v>
      </c>
      <c r="E270" t="s">
        <v>29</v>
      </c>
      <c r="F270">
        <v>88</v>
      </c>
      <c r="G270">
        <v>92</v>
      </c>
      <c r="H270">
        <v>95</v>
      </c>
      <c r="J270">
        <v>88</v>
      </c>
      <c r="K270">
        <v>9.3808315199999992</v>
      </c>
      <c r="L270">
        <v>88</v>
      </c>
      <c r="M270">
        <v>95</v>
      </c>
      <c r="N270">
        <v>275</v>
      </c>
      <c r="O270">
        <v>91.666666669999998</v>
      </c>
      <c r="P270">
        <v>90</v>
      </c>
      <c r="Q270">
        <v>1</v>
      </c>
      <c r="R270">
        <v>9.57</v>
      </c>
      <c r="S270" t="s">
        <v>38</v>
      </c>
      <c r="T270" t="s">
        <v>26</v>
      </c>
      <c r="U270">
        <v>18</v>
      </c>
    </row>
    <row r="271" spans="1:21" x14ac:dyDescent="0.25">
      <c r="A271" t="s">
        <v>20</v>
      </c>
      <c r="B271" t="s">
        <v>64</v>
      </c>
      <c r="C271" t="s">
        <v>28</v>
      </c>
      <c r="D271" t="s">
        <v>37</v>
      </c>
      <c r="E271" t="s">
        <v>24</v>
      </c>
      <c r="F271">
        <v>71</v>
      </c>
      <c r="G271">
        <v>76</v>
      </c>
      <c r="H271">
        <v>70</v>
      </c>
      <c r="J271">
        <v>71</v>
      </c>
      <c r="K271">
        <v>8.4261497730000006</v>
      </c>
      <c r="L271">
        <v>70</v>
      </c>
      <c r="M271">
        <v>76</v>
      </c>
      <c r="N271">
        <v>217</v>
      </c>
      <c r="O271">
        <v>72.333333330000002</v>
      </c>
      <c r="P271">
        <v>71</v>
      </c>
      <c r="Q271">
        <v>4</v>
      </c>
      <c r="R271">
        <v>8.5</v>
      </c>
      <c r="S271" t="s">
        <v>30</v>
      </c>
      <c r="T271" t="s">
        <v>31</v>
      </c>
      <c r="U271">
        <v>12</v>
      </c>
    </row>
    <row r="272" spans="1:21" x14ac:dyDescent="0.25">
      <c r="A272" t="s">
        <v>34</v>
      </c>
      <c r="B272" t="s">
        <v>27</v>
      </c>
      <c r="C272" t="s">
        <v>22</v>
      </c>
      <c r="D272" t="s">
        <v>23</v>
      </c>
      <c r="E272" t="s">
        <v>24</v>
      </c>
      <c r="F272">
        <v>69</v>
      </c>
      <c r="G272">
        <v>63</v>
      </c>
      <c r="H272">
        <v>61</v>
      </c>
      <c r="J272">
        <v>69</v>
      </c>
      <c r="K272">
        <v>8.3066238630000004</v>
      </c>
      <c r="L272">
        <v>61</v>
      </c>
      <c r="M272">
        <v>69</v>
      </c>
      <c r="N272">
        <v>193</v>
      </c>
      <c r="O272">
        <v>64.333333330000002</v>
      </c>
      <c r="P272">
        <v>66</v>
      </c>
      <c r="Q272">
        <v>4</v>
      </c>
      <c r="R272">
        <v>8.02</v>
      </c>
      <c r="S272" t="s">
        <v>25</v>
      </c>
      <c r="T272" t="s">
        <v>26</v>
      </c>
      <c r="U272">
        <v>17</v>
      </c>
    </row>
    <row r="273" spans="1:21" x14ac:dyDescent="0.25">
      <c r="A273" t="s">
        <v>34</v>
      </c>
      <c r="B273" t="s">
        <v>27</v>
      </c>
      <c r="C273" t="s">
        <v>28</v>
      </c>
      <c r="D273" t="s">
        <v>23</v>
      </c>
      <c r="E273" t="s">
        <v>24</v>
      </c>
      <c r="F273">
        <v>58</v>
      </c>
      <c r="G273">
        <v>49</v>
      </c>
      <c r="H273">
        <v>42</v>
      </c>
      <c r="J273">
        <v>58</v>
      </c>
      <c r="K273">
        <v>7.6157731059999998</v>
      </c>
      <c r="L273">
        <v>42</v>
      </c>
      <c r="M273">
        <v>58</v>
      </c>
      <c r="N273">
        <v>149</v>
      </c>
      <c r="O273">
        <v>49.666666669999998</v>
      </c>
      <c r="P273">
        <v>53.5</v>
      </c>
      <c r="Q273">
        <v>4</v>
      </c>
      <c r="R273">
        <v>7.05</v>
      </c>
      <c r="S273" t="s">
        <v>30</v>
      </c>
      <c r="T273" t="s">
        <v>31</v>
      </c>
      <c r="U273">
        <v>12</v>
      </c>
    </row>
    <row r="274" spans="1:21" x14ac:dyDescent="0.25">
      <c r="A274" t="s">
        <v>20</v>
      </c>
      <c r="B274" t="s">
        <v>39</v>
      </c>
      <c r="C274" t="s">
        <v>36</v>
      </c>
      <c r="D274" t="s">
        <v>37</v>
      </c>
      <c r="E274" t="s">
        <v>24</v>
      </c>
      <c r="F274">
        <v>47</v>
      </c>
      <c r="G274">
        <v>53</v>
      </c>
      <c r="H274">
        <v>58</v>
      </c>
      <c r="J274">
        <v>47</v>
      </c>
      <c r="K274">
        <v>6.8556546000000003</v>
      </c>
      <c r="L274">
        <v>47</v>
      </c>
      <c r="M274">
        <v>58</v>
      </c>
      <c r="N274">
        <v>158</v>
      </c>
      <c r="O274">
        <v>52.666666669999998</v>
      </c>
      <c r="P274">
        <v>50</v>
      </c>
      <c r="Q274">
        <v>1</v>
      </c>
      <c r="R274">
        <v>7.26</v>
      </c>
      <c r="S274" t="s">
        <v>38</v>
      </c>
      <c r="T274" t="s">
        <v>26</v>
      </c>
      <c r="U274">
        <v>18</v>
      </c>
    </row>
    <row r="275" spans="1:21" x14ac:dyDescent="0.25">
      <c r="A275" t="s">
        <v>20</v>
      </c>
      <c r="B275" t="s">
        <v>39</v>
      </c>
      <c r="C275" t="s">
        <v>28</v>
      </c>
      <c r="D275" t="s">
        <v>23</v>
      </c>
      <c r="E275" t="s">
        <v>24</v>
      </c>
      <c r="F275">
        <v>65</v>
      </c>
      <c r="G275">
        <v>70</v>
      </c>
      <c r="H275">
        <v>71</v>
      </c>
      <c r="J275">
        <v>65</v>
      </c>
      <c r="K275">
        <v>8.0622577480000004</v>
      </c>
      <c r="L275">
        <v>65</v>
      </c>
      <c r="M275">
        <v>71</v>
      </c>
      <c r="N275">
        <v>206</v>
      </c>
      <c r="O275">
        <v>68.666666669999998</v>
      </c>
      <c r="P275">
        <v>67.5</v>
      </c>
      <c r="Q275">
        <v>1</v>
      </c>
      <c r="R275">
        <v>8.2899999999999991</v>
      </c>
      <c r="S275" t="s">
        <v>30</v>
      </c>
      <c r="T275" t="s">
        <v>31</v>
      </c>
      <c r="U275">
        <v>12</v>
      </c>
    </row>
    <row r="276" spans="1:21" x14ac:dyDescent="0.25">
      <c r="A276" t="s">
        <v>34</v>
      </c>
      <c r="B276" t="s">
        <v>21</v>
      </c>
      <c r="C276" t="s">
        <v>28</v>
      </c>
      <c r="D276" t="s">
        <v>23</v>
      </c>
      <c r="E276" t="s">
        <v>29</v>
      </c>
      <c r="F276">
        <v>88</v>
      </c>
      <c r="G276">
        <v>85</v>
      </c>
      <c r="H276">
        <v>76</v>
      </c>
      <c r="J276">
        <v>88</v>
      </c>
      <c r="K276">
        <v>9.3808315199999992</v>
      </c>
      <c r="L276">
        <v>76</v>
      </c>
      <c r="M276">
        <v>88</v>
      </c>
      <c r="N276">
        <v>249</v>
      </c>
      <c r="O276">
        <v>83</v>
      </c>
      <c r="P276">
        <v>86.5</v>
      </c>
      <c r="Q276">
        <v>4</v>
      </c>
      <c r="R276">
        <v>9.11</v>
      </c>
      <c r="S276" t="s">
        <v>30</v>
      </c>
      <c r="T276" t="s">
        <v>31</v>
      </c>
      <c r="U276">
        <v>12</v>
      </c>
    </row>
    <row r="277" spans="1:21" x14ac:dyDescent="0.25">
      <c r="A277" t="s">
        <v>34</v>
      </c>
      <c r="B277" t="s">
        <v>27</v>
      </c>
      <c r="C277" t="s">
        <v>22</v>
      </c>
      <c r="D277" t="s">
        <v>23</v>
      </c>
      <c r="E277" t="s">
        <v>24</v>
      </c>
      <c r="F277">
        <v>83</v>
      </c>
      <c r="G277">
        <v>78</v>
      </c>
      <c r="H277">
        <v>73</v>
      </c>
      <c r="J277">
        <v>83</v>
      </c>
      <c r="K277">
        <v>9.1104335790000004</v>
      </c>
      <c r="L277">
        <v>73</v>
      </c>
      <c r="M277">
        <v>83</v>
      </c>
      <c r="N277">
        <v>234</v>
      </c>
      <c r="O277">
        <v>78</v>
      </c>
      <c r="P277">
        <v>80.5</v>
      </c>
      <c r="Q277">
        <v>4</v>
      </c>
      <c r="R277">
        <v>8.83</v>
      </c>
      <c r="S277" t="s">
        <v>25</v>
      </c>
      <c r="T277" t="s">
        <v>26</v>
      </c>
      <c r="U277">
        <v>17</v>
      </c>
    </row>
    <row r="278" spans="1:21" x14ac:dyDescent="0.25">
      <c r="A278" t="s">
        <v>20</v>
      </c>
      <c r="B278" t="s">
        <v>27</v>
      </c>
      <c r="C278" t="s">
        <v>50</v>
      </c>
      <c r="D278" t="s">
        <v>23</v>
      </c>
      <c r="E278" t="s">
        <v>29</v>
      </c>
      <c r="F278">
        <v>85</v>
      </c>
      <c r="G278">
        <v>92</v>
      </c>
      <c r="H278">
        <v>93</v>
      </c>
      <c r="J278">
        <v>85</v>
      </c>
      <c r="K278">
        <v>9.2195444569999996</v>
      </c>
      <c r="L278">
        <v>85</v>
      </c>
      <c r="M278">
        <v>93</v>
      </c>
      <c r="N278">
        <v>270</v>
      </c>
      <c r="O278">
        <v>90</v>
      </c>
      <c r="P278">
        <v>88.5</v>
      </c>
      <c r="Q278">
        <v>1</v>
      </c>
      <c r="R278">
        <v>9.49</v>
      </c>
      <c r="S278" t="s">
        <v>30</v>
      </c>
      <c r="T278" t="s">
        <v>42</v>
      </c>
      <c r="U278">
        <v>16</v>
      </c>
    </row>
    <row r="279" spans="1:21" x14ac:dyDescent="0.25">
      <c r="A279" t="s">
        <v>20</v>
      </c>
      <c r="B279" t="s">
        <v>64</v>
      </c>
      <c r="C279" t="s">
        <v>40</v>
      </c>
      <c r="D279" t="s">
        <v>23</v>
      </c>
      <c r="E279" t="s">
        <v>29</v>
      </c>
      <c r="F279">
        <v>59</v>
      </c>
      <c r="G279">
        <v>63</v>
      </c>
      <c r="H279">
        <v>75</v>
      </c>
      <c r="J279">
        <v>59</v>
      </c>
      <c r="K279">
        <v>7.6811457479999996</v>
      </c>
      <c r="L279">
        <v>59</v>
      </c>
      <c r="M279">
        <v>75</v>
      </c>
      <c r="N279">
        <v>197</v>
      </c>
      <c r="O279">
        <v>65.666666669999998</v>
      </c>
      <c r="P279">
        <v>61</v>
      </c>
      <c r="Q279">
        <v>1</v>
      </c>
      <c r="R279">
        <v>8.1</v>
      </c>
      <c r="S279" t="s">
        <v>41</v>
      </c>
      <c r="T279" t="s">
        <v>42</v>
      </c>
      <c r="U279">
        <v>11</v>
      </c>
    </row>
    <row r="280" spans="1:21" x14ac:dyDescent="0.25">
      <c r="A280" t="s">
        <v>20</v>
      </c>
      <c r="B280" t="s">
        <v>27</v>
      </c>
      <c r="C280" t="s">
        <v>50</v>
      </c>
      <c r="D280" t="s">
        <v>37</v>
      </c>
      <c r="E280" t="s">
        <v>24</v>
      </c>
      <c r="F280">
        <v>65</v>
      </c>
      <c r="G280">
        <v>86</v>
      </c>
      <c r="H280">
        <v>80</v>
      </c>
      <c r="J280">
        <v>65</v>
      </c>
      <c r="K280">
        <v>8.0622577480000004</v>
      </c>
      <c r="L280">
        <v>65</v>
      </c>
      <c r="M280">
        <v>86</v>
      </c>
      <c r="N280">
        <v>231</v>
      </c>
      <c r="O280">
        <v>77</v>
      </c>
      <c r="P280">
        <v>72.5</v>
      </c>
      <c r="Q280">
        <v>2</v>
      </c>
      <c r="R280">
        <v>8.77</v>
      </c>
      <c r="S280" t="s">
        <v>30</v>
      </c>
      <c r="T280" t="s">
        <v>42</v>
      </c>
      <c r="U280">
        <v>16</v>
      </c>
    </row>
    <row r="281" spans="1:21" x14ac:dyDescent="0.25">
      <c r="A281" t="s">
        <v>34</v>
      </c>
      <c r="B281" t="s">
        <v>21</v>
      </c>
      <c r="C281" t="s">
        <v>22</v>
      </c>
      <c r="D281" t="s">
        <v>37</v>
      </c>
      <c r="E281" t="s">
        <v>24</v>
      </c>
      <c r="F281">
        <v>73</v>
      </c>
      <c r="G281">
        <v>56</v>
      </c>
      <c r="H281">
        <v>57</v>
      </c>
      <c r="J281">
        <v>73</v>
      </c>
      <c r="K281">
        <v>8.5440037449999995</v>
      </c>
      <c r="L281">
        <v>56</v>
      </c>
      <c r="M281">
        <v>73</v>
      </c>
      <c r="N281">
        <v>186</v>
      </c>
      <c r="O281">
        <v>62</v>
      </c>
      <c r="P281">
        <v>65</v>
      </c>
      <c r="Q281">
        <v>3</v>
      </c>
      <c r="R281">
        <v>7.87</v>
      </c>
      <c r="S281" t="s">
        <v>25</v>
      </c>
      <c r="T281" t="s">
        <v>26</v>
      </c>
      <c r="U281">
        <v>17</v>
      </c>
    </row>
    <row r="282" spans="1:21" x14ac:dyDescent="0.25">
      <c r="A282" t="s">
        <v>34</v>
      </c>
      <c r="B282" t="s">
        <v>39</v>
      </c>
      <c r="C282" t="s">
        <v>40</v>
      </c>
      <c r="D282" t="s">
        <v>23</v>
      </c>
      <c r="E282" t="s">
        <v>24</v>
      </c>
      <c r="F282">
        <v>53</v>
      </c>
      <c r="G282">
        <v>52</v>
      </c>
      <c r="H282">
        <v>42</v>
      </c>
      <c r="J282">
        <v>53</v>
      </c>
      <c r="K282">
        <v>7.2801098890000002</v>
      </c>
      <c r="L282">
        <v>42</v>
      </c>
      <c r="M282">
        <v>53</v>
      </c>
      <c r="N282">
        <v>147</v>
      </c>
      <c r="O282">
        <v>49</v>
      </c>
      <c r="P282">
        <v>52.5</v>
      </c>
      <c r="Q282">
        <v>4</v>
      </c>
      <c r="R282">
        <v>7</v>
      </c>
      <c r="S282" t="s">
        <v>41</v>
      </c>
      <c r="T282" t="s">
        <v>42</v>
      </c>
      <c r="U282">
        <v>11</v>
      </c>
    </row>
    <row r="283" spans="1:21" x14ac:dyDescent="0.25">
      <c r="A283" t="s">
        <v>34</v>
      </c>
      <c r="B283" t="s">
        <v>39</v>
      </c>
      <c r="C283" t="s">
        <v>40</v>
      </c>
      <c r="D283" t="s">
        <v>23</v>
      </c>
      <c r="E283" t="s">
        <v>24</v>
      </c>
      <c r="F283">
        <v>45</v>
      </c>
      <c r="G283">
        <v>48</v>
      </c>
      <c r="H283">
        <v>46</v>
      </c>
      <c r="J283">
        <v>45</v>
      </c>
      <c r="K283">
        <v>6.708203932</v>
      </c>
      <c r="L283">
        <v>45</v>
      </c>
      <c r="M283">
        <v>48</v>
      </c>
      <c r="N283">
        <v>139</v>
      </c>
      <c r="O283">
        <v>46.333333330000002</v>
      </c>
      <c r="P283">
        <v>45.5</v>
      </c>
      <c r="Q283">
        <v>2</v>
      </c>
      <c r="R283">
        <v>6.81</v>
      </c>
      <c r="S283" t="s">
        <v>41</v>
      </c>
      <c r="T283" t="s">
        <v>42</v>
      </c>
      <c r="U283">
        <v>11</v>
      </c>
    </row>
    <row r="284" spans="1:21" x14ac:dyDescent="0.25">
      <c r="A284" t="s">
        <v>20</v>
      </c>
      <c r="B284" t="s">
        <v>39</v>
      </c>
      <c r="C284" t="s">
        <v>22</v>
      </c>
      <c r="D284" t="s">
        <v>37</v>
      </c>
      <c r="E284" t="s">
        <v>24</v>
      </c>
      <c r="F284">
        <v>73</v>
      </c>
      <c r="G284">
        <v>79</v>
      </c>
      <c r="H284">
        <v>84</v>
      </c>
      <c r="J284">
        <v>73</v>
      </c>
      <c r="K284">
        <v>8.5440037449999995</v>
      </c>
      <c r="L284">
        <v>73</v>
      </c>
      <c r="M284">
        <v>84</v>
      </c>
      <c r="N284">
        <v>236</v>
      </c>
      <c r="O284">
        <v>78.666666669999998</v>
      </c>
      <c r="P284">
        <v>76</v>
      </c>
      <c r="Q284">
        <v>1</v>
      </c>
      <c r="R284">
        <v>8.8699999999999992</v>
      </c>
      <c r="S284" t="s">
        <v>25</v>
      </c>
      <c r="T284" t="s">
        <v>26</v>
      </c>
      <c r="U284">
        <v>17</v>
      </c>
    </row>
    <row r="285" spans="1:21" x14ac:dyDescent="0.25">
      <c r="A285" t="s">
        <v>20</v>
      </c>
      <c r="B285" t="s">
        <v>39</v>
      </c>
      <c r="C285" t="s">
        <v>28</v>
      </c>
      <c r="D285" t="s">
        <v>37</v>
      </c>
      <c r="E285" t="s">
        <v>29</v>
      </c>
      <c r="F285">
        <v>70</v>
      </c>
      <c r="G285">
        <v>78</v>
      </c>
      <c r="H285">
        <v>78</v>
      </c>
      <c r="J285">
        <v>70</v>
      </c>
      <c r="K285">
        <v>8.3666002650000006</v>
      </c>
      <c r="L285">
        <v>70</v>
      </c>
      <c r="M285">
        <v>78</v>
      </c>
      <c r="N285">
        <v>226</v>
      </c>
      <c r="O285">
        <v>75.333333330000002</v>
      </c>
      <c r="P285">
        <v>74</v>
      </c>
      <c r="Q285">
        <v>1</v>
      </c>
      <c r="R285">
        <v>8.68</v>
      </c>
      <c r="S285" t="s">
        <v>30</v>
      </c>
      <c r="T285" t="s">
        <v>31</v>
      </c>
      <c r="U285">
        <v>12</v>
      </c>
    </row>
    <row r="286" spans="1:21" x14ac:dyDescent="0.25">
      <c r="A286" t="s">
        <v>20</v>
      </c>
      <c r="B286" t="s">
        <v>21</v>
      </c>
      <c r="C286" t="s">
        <v>50</v>
      </c>
      <c r="D286" t="s">
        <v>23</v>
      </c>
      <c r="E286" t="s">
        <v>24</v>
      </c>
      <c r="F286">
        <v>37</v>
      </c>
      <c r="G286">
        <v>46</v>
      </c>
      <c r="H286">
        <v>46</v>
      </c>
      <c r="J286">
        <v>37</v>
      </c>
      <c r="K286">
        <v>6.0827625300000001</v>
      </c>
      <c r="L286">
        <v>37</v>
      </c>
      <c r="M286">
        <v>46</v>
      </c>
      <c r="N286">
        <v>129</v>
      </c>
      <c r="O286">
        <v>43</v>
      </c>
      <c r="P286">
        <v>41.5</v>
      </c>
      <c r="Q286">
        <v>1</v>
      </c>
      <c r="R286">
        <v>6.56</v>
      </c>
      <c r="S286" t="s">
        <v>30</v>
      </c>
      <c r="T286" t="s">
        <v>42</v>
      </c>
      <c r="U286">
        <v>16</v>
      </c>
    </row>
    <row r="287" spans="1:21" x14ac:dyDescent="0.25">
      <c r="A287" t="s">
        <v>34</v>
      </c>
      <c r="B287" t="s">
        <v>21</v>
      </c>
      <c r="C287" t="s">
        <v>36</v>
      </c>
      <c r="D287" t="s">
        <v>23</v>
      </c>
      <c r="E287" t="s">
        <v>29</v>
      </c>
      <c r="F287">
        <v>81</v>
      </c>
      <c r="G287">
        <v>82</v>
      </c>
      <c r="H287">
        <v>82</v>
      </c>
      <c r="J287">
        <v>81</v>
      </c>
      <c r="K287">
        <v>9</v>
      </c>
      <c r="L287">
        <v>81</v>
      </c>
      <c r="M287">
        <v>82</v>
      </c>
      <c r="N287">
        <v>245</v>
      </c>
      <c r="O287">
        <v>81.666666669999998</v>
      </c>
      <c r="P287">
        <v>81.5</v>
      </c>
      <c r="Q287">
        <v>1</v>
      </c>
      <c r="R287">
        <v>9.0399999999999991</v>
      </c>
      <c r="S287" t="s">
        <v>38</v>
      </c>
      <c r="T287" t="s">
        <v>26</v>
      </c>
      <c r="U287">
        <v>18</v>
      </c>
    </row>
    <row r="288" spans="1:21" x14ac:dyDescent="0.25">
      <c r="A288" t="s">
        <v>34</v>
      </c>
      <c r="B288" t="s">
        <v>64</v>
      </c>
      <c r="C288" t="s">
        <v>36</v>
      </c>
      <c r="D288" t="s">
        <v>23</v>
      </c>
      <c r="E288" t="s">
        <v>29</v>
      </c>
      <c r="F288">
        <v>97</v>
      </c>
      <c r="G288">
        <v>82</v>
      </c>
      <c r="H288">
        <v>88</v>
      </c>
      <c r="J288">
        <v>97</v>
      </c>
      <c r="K288">
        <v>9.8488578019999995</v>
      </c>
      <c r="L288">
        <v>82</v>
      </c>
      <c r="M288">
        <v>97</v>
      </c>
      <c r="N288">
        <v>267</v>
      </c>
      <c r="O288">
        <v>89</v>
      </c>
      <c r="P288">
        <v>92.5</v>
      </c>
      <c r="Q288">
        <v>3</v>
      </c>
      <c r="R288">
        <v>9.43</v>
      </c>
      <c r="S288" t="s">
        <v>38</v>
      </c>
      <c r="T288" t="s">
        <v>26</v>
      </c>
      <c r="U288">
        <v>18</v>
      </c>
    </row>
    <row r="289" spans="1:21" x14ac:dyDescent="0.25">
      <c r="A289" t="s">
        <v>20</v>
      </c>
      <c r="B289" t="s">
        <v>21</v>
      </c>
      <c r="C289" t="s">
        <v>50</v>
      </c>
      <c r="D289" t="s">
        <v>23</v>
      </c>
      <c r="E289" t="s">
        <v>24</v>
      </c>
      <c r="F289">
        <v>67</v>
      </c>
      <c r="G289">
        <v>89</v>
      </c>
      <c r="H289">
        <v>82</v>
      </c>
      <c r="J289">
        <v>67</v>
      </c>
      <c r="K289">
        <v>8.1853527719999999</v>
      </c>
      <c r="L289">
        <v>67</v>
      </c>
      <c r="M289">
        <v>89</v>
      </c>
      <c r="N289">
        <v>238</v>
      </c>
      <c r="O289">
        <v>79.333333330000002</v>
      </c>
      <c r="P289">
        <v>74.5</v>
      </c>
      <c r="Q289">
        <v>2</v>
      </c>
      <c r="R289">
        <v>8.91</v>
      </c>
      <c r="S289" t="s">
        <v>30</v>
      </c>
      <c r="T289" t="s">
        <v>42</v>
      </c>
      <c r="U289">
        <v>16</v>
      </c>
    </row>
    <row r="290" spans="1:21" x14ac:dyDescent="0.25">
      <c r="A290" t="s">
        <v>34</v>
      </c>
      <c r="B290" t="s">
        <v>21</v>
      </c>
      <c r="C290" t="s">
        <v>22</v>
      </c>
      <c r="D290" t="s">
        <v>37</v>
      </c>
      <c r="E290" t="s">
        <v>24</v>
      </c>
      <c r="F290">
        <v>88</v>
      </c>
      <c r="G290">
        <v>75</v>
      </c>
      <c r="H290">
        <v>76</v>
      </c>
      <c r="J290">
        <v>88</v>
      </c>
      <c r="K290">
        <v>9.3808315199999992</v>
      </c>
      <c r="L290">
        <v>75</v>
      </c>
      <c r="M290">
        <v>88</v>
      </c>
      <c r="N290">
        <v>239</v>
      </c>
      <c r="O290">
        <v>79.666666669999998</v>
      </c>
      <c r="P290">
        <v>82</v>
      </c>
      <c r="Q290">
        <v>3</v>
      </c>
      <c r="R290">
        <v>8.93</v>
      </c>
      <c r="S290" t="s">
        <v>25</v>
      </c>
      <c r="T290" t="s">
        <v>26</v>
      </c>
      <c r="U290">
        <v>17</v>
      </c>
    </row>
    <row r="291" spans="1:21" x14ac:dyDescent="0.25">
      <c r="A291" t="s">
        <v>34</v>
      </c>
      <c r="B291" t="s">
        <v>64</v>
      </c>
      <c r="C291" t="s">
        <v>50</v>
      </c>
      <c r="D291" t="s">
        <v>23</v>
      </c>
      <c r="E291" t="s">
        <v>29</v>
      </c>
      <c r="F291">
        <v>77</v>
      </c>
      <c r="G291">
        <v>76</v>
      </c>
      <c r="H291">
        <v>77</v>
      </c>
      <c r="J291">
        <v>77</v>
      </c>
      <c r="K291">
        <v>8.7749643870000007</v>
      </c>
      <c r="L291">
        <v>76</v>
      </c>
      <c r="M291">
        <v>77</v>
      </c>
      <c r="N291">
        <v>230</v>
      </c>
      <c r="O291">
        <v>76.666666669999998</v>
      </c>
      <c r="P291">
        <v>77</v>
      </c>
      <c r="Q291">
        <v>1</v>
      </c>
      <c r="R291">
        <v>8.76</v>
      </c>
      <c r="S291" t="s">
        <v>30</v>
      </c>
      <c r="T291" t="s">
        <v>42</v>
      </c>
      <c r="U291">
        <v>16</v>
      </c>
    </row>
    <row r="292" spans="1:21" x14ac:dyDescent="0.25">
      <c r="A292" t="s">
        <v>34</v>
      </c>
      <c r="B292" t="s">
        <v>27</v>
      </c>
      <c r="C292" t="s">
        <v>36</v>
      </c>
      <c r="D292" t="s">
        <v>23</v>
      </c>
      <c r="E292" t="s">
        <v>24</v>
      </c>
      <c r="F292">
        <v>76</v>
      </c>
      <c r="G292">
        <v>70</v>
      </c>
      <c r="H292">
        <v>68</v>
      </c>
      <c r="J292">
        <v>76</v>
      </c>
      <c r="K292">
        <v>8.7177978869999997</v>
      </c>
      <c r="L292">
        <v>68</v>
      </c>
      <c r="M292">
        <v>76</v>
      </c>
      <c r="N292">
        <v>214</v>
      </c>
      <c r="O292">
        <v>71.333333330000002</v>
      </c>
      <c r="P292">
        <v>73</v>
      </c>
      <c r="Q292">
        <v>4</v>
      </c>
      <c r="R292">
        <v>8.4499999999999993</v>
      </c>
      <c r="S292" t="s">
        <v>38</v>
      </c>
      <c r="T292" t="s">
        <v>26</v>
      </c>
      <c r="U292">
        <v>18</v>
      </c>
    </row>
    <row r="293" spans="1:21" x14ac:dyDescent="0.25">
      <c r="A293" t="s">
        <v>34</v>
      </c>
      <c r="B293" t="s">
        <v>39</v>
      </c>
      <c r="C293" t="s">
        <v>50</v>
      </c>
      <c r="D293" t="s">
        <v>23</v>
      </c>
      <c r="E293" t="s">
        <v>24</v>
      </c>
      <c r="F293">
        <v>86</v>
      </c>
      <c r="G293">
        <v>73</v>
      </c>
      <c r="H293">
        <v>70</v>
      </c>
      <c r="J293">
        <v>86</v>
      </c>
      <c r="K293">
        <v>9.2736184949999991</v>
      </c>
      <c r="L293">
        <v>70</v>
      </c>
      <c r="M293">
        <v>86</v>
      </c>
      <c r="N293">
        <v>229</v>
      </c>
      <c r="O293">
        <v>76.333333330000002</v>
      </c>
      <c r="P293">
        <v>79.5</v>
      </c>
      <c r="Q293">
        <v>4</v>
      </c>
      <c r="R293">
        <v>8.74</v>
      </c>
      <c r="S293" t="s">
        <v>30</v>
      </c>
      <c r="T293" t="s">
        <v>42</v>
      </c>
      <c r="U293">
        <v>16</v>
      </c>
    </row>
    <row r="294" spans="1:21" x14ac:dyDescent="0.25">
      <c r="A294" t="s">
        <v>34</v>
      </c>
      <c r="B294" t="s">
        <v>27</v>
      </c>
      <c r="C294" t="s">
        <v>50</v>
      </c>
      <c r="D294" t="s">
        <v>23</v>
      </c>
      <c r="E294" t="s">
        <v>29</v>
      </c>
      <c r="F294">
        <v>63</v>
      </c>
      <c r="G294">
        <v>60</v>
      </c>
      <c r="H294">
        <v>57</v>
      </c>
      <c r="J294">
        <v>63</v>
      </c>
      <c r="K294">
        <v>7.937253933</v>
      </c>
      <c r="L294">
        <v>57</v>
      </c>
      <c r="M294">
        <v>63</v>
      </c>
      <c r="N294">
        <v>180</v>
      </c>
      <c r="O294">
        <v>60</v>
      </c>
      <c r="P294">
        <v>61.5</v>
      </c>
      <c r="Q294">
        <v>4</v>
      </c>
      <c r="R294">
        <v>7.75</v>
      </c>
      <c r="S294" t="s">
        <v>30</v>
      </c>
      <c r="T294" t="s">
        <v>42</v>
      </c>
      <c r="U294">
        <v>16</v>
      </c>
    </row>
    <row r="295" spans="1:21" x14ac:dyDescent="0.25">
      <c r="A295" t="s">
        <v>20</v>
      </c>
      <c r="B295" t="s">
        <v>64</v>
      </c>
      <c r="C295" t="s">
        <v>22</v>
      </c>
      <c r="D295" t="s">
        <v>23</v>
      </c>
      <c r="E295" t="s">
        <v>24</v>
      </c>
      <c r="F295">
        <v>65</v>
      </c>
      <c r="G295">
        <v>73</v>
      </c>
      <c r="H295">
        <v>75</v>
      </c>
      <c r="J295">
        <v>65</v>
      </c>
      <c r="K295">
        <v>8.0622577480000004</v>
      </c>
      <c r="L295">
        <v>65</v>
      </c>
      <c r="M295">
        <v>75</v>
      </c>
      <c r="N295">
        <v>213</v>
      </c>
      <c r="O295">
        <v>71</v>
      </c>
      <c r="P295">
        <v>69</v>
      </c>
      <c r="Q295">
        <v>1</v>
      </c>
      <c r="R295">
        <v>8.43</v>
      </c>
      <c r="S295" t="s">
        <v>25</v>
      </c>
      <c r="T295" t="s">
        <v>26</v>
      </c>
      <c r="U295">
        <v>17</v>
      </c>
    </row>
    <row r="296" spans="1:21" x14ac:dyDescent="0.25">
      <c r="A296" t="s">
        <v>34</v>
      </c>
      <c r="B296" t="s">
        <v>39</v>
      </c>
      <c r="C296" t="s">
        <v>40</v>
      </c>
      <c r="D296" t="s">
        <v>37</v>
      </c>
      <c r="E296" t="s">
        <v>29</v>
      </c>
      <c r="F296">
        <v>78</v>
      </c>
      <c r="G296">
        <v>77</v>
      </c>
      <c r="H296">
        <v>80</v>
      </c>
      <c r="J296">
        <v>78</v>
      </c>
      <c r="K296">
        <v>8.8317608659999998</v>
      </c>
      <c r="L296">
        <v>77</v>
      </c>
      <c r="M296">
        <v>80</v>
      </c>
      <c r="N296">
        <v>235</v>
      </c>
      <c r="O296">
        <v>78.333333330000002</v>
      </c>
      <c r="P296">
        <v>78</v>
      </c>
      <c r="Q296">
        <v>1</v>
      </c>
      <c r="R296">
        <v>8.85</v>
      </c>
      <c r="S296" t="s">
        <v>41</v>
      </c>
      <c r="T296" t="s">
        <v>42</v>
      </c>
      <c r="U296">
        <v>11</v>
      </c>
    </row>
    <row r="297" spans="1:21" x14ac:dyDescent="0.25">
      <c r="A297" t="s">
        <v>34</v>
      </c>
      <c r="B297" t="s">
        <v>21</v>
      </c>
      <c r="C297" t="s">
        <v>36</v>
      </c>
      <c r="D297" t="s">
        <v>37</v>
      </c>
      <c r="E297" t="s">
        <v>24</v>
      </c>
      <c r="F297">
        <v>67</v>
      </c>
      <c r="G297">
        <v>62</v>
      </c>
      <c r="H297">
        <v>60</v>
      </c>
      <c r="J297">
        <v>67</v>
      </c>
      <c r="K297">
        <v>8.1853527719999999</v>
      </c>
      <c r="L297">
        <v>60</v>
      </c>
      <c r="M297">
        <v>67</v>
      </c>
      <c r="N297">
        <v>189</v>
      </c>
      <c r="O297">
        <v>63</v>
      </c>
      <c r="P297">
        <v>64.5</v>
      </c>
      <c r="Q297">
        <v>4</v>
      </c>
      <c r="R297">
        <v>7.94</v>
      </c>
      <c r="S297" t="s">
        <v>38</v>
      </c>
      <c r="T297" t="s">
        <v>26</v>
      </c>
      <c r="U297">
        <v>18</v>
      </c>
    </row>
    <row r="298" spans="1:21" x14ac:dyDescent="0.25">
      <c r="A298" t="s">
        <v>34</v>
      </c>
      <c r="B298" t="s">
        <v>35</v>
      </c>
      <c r="C298" t="s">
        <v>50</v>
      </c>
      <c r="D298" t="s">
        <v>23</v>
      </c>
      <c r="E298" t="s">
        <v>29</v>
      </c>
      <c r="F298">
        <v>46</v>
      </c>
      <c r="G298">
        <v>41</v>
      </c>
      <c r="H298">
        <v>43</v>
      </c>
      <c r="J298">
        <v>46</v>
      </c>
      <c r="K298">
        <v>6.7823299830000003</v>
      </c>
      <c r="L298">
        <v>41</v>
      </c>
      <c r="M298">
        <v>46</v>
      </c>
      <c r="N298">
        <v>130</v>
      </c>
      <c r="O298">
        <v>43.333333330000002</v>
      </c>
      <c r="P298">
        <v>44.5</v>
      </c>
      <c r="Q298">
        <v>3</v>
      </c>
      <c r="R298">
        <v>6.58</v>
      </c>
      <c r="S298" t="s">
        <v>30</v>
      </c>
      <c r="T298" t="s">
        <v>42</v>
      </c>
      <c r="U298">
        <v>16</v>
      </c>
    </row>
    <row r="299" spans="1:21" x14ac:dyDescent="0.25">
      <c r="A299" t="s">
        <v>34</v>
      </c>
      <c r="B299" t="s">
        <v>64</v>
      </c>
      <c r="C299" t="s">
        <v>36</v>
      </c>
      <c r="D299" t="s">
        <v>23</v>
      </c>
      <c r="E299" t="s">
        <v>29</v>
      </c>
      <c r="F299">
        <v>71</v>
      </c>
      <c r="G299">
        <v>74</v>
      </c>
      <c r="H299">
        <v>68</v>
      </c>
      <c r="J299">
        <v>71</v>
      </c>
      <c r="K299">
        <v>8.4261497730000006</v>
      </c>
      <c r="L299">
        <v>68</v>
      </c>
      <c r="M299">
        <v>74</v>
      </c>
      <c r="N299">
        <v>213</v>
      </c>
      <c r="O299">
        <v>71</v>
      </c>
      <c r="P299">
        <v>71</v>
      </c>
      <c r="Q299">
        <v>4</v>
      </c>
      <c r="R299">
        <v>8.43</v>
      </c>
      <c r="S299" t="s">
        <v>38</v>
      </c>
      <c r="T299" t="s">
        <v>26</v>
      </c>
      <c r="U299">
        <v>18</v>
      </c>
    </row>
    <row r="300" spans="1:21" x14ac:dyDescent="0.25">
      <c r="A300" t="s">
        <v>34</v>
      </c>
      <c r="B300" t="s">
        <v>27</v>
      </c>
      <c r="C300" t="s">
        <v>40</v>
      </c>
      <c r="D300" t="s">
        <v>37</v>
      </c>
      <c r="E300" t="s">
        <v>29</v>
      </c>
      <c r="F300">
        <v>40</v>
      </c>
      <c r="G300">
        <v>46</v>
      </c>
      <c r="H300">
        <v>50</v>
      </c>
      <c r="J300">
        <v>40</v>
      </c>
      <c r="K300">
        <v>6.32455532</v>
      </c>
      <c r="L300">
        <v>40</v>
      </c>
      <c r="M300">
        <v>50</v>
      </c>
      <c r="N300">
        <v>136</v>
      </c>
      <c r="O300">
        <v>45.333333330000002</v>
      </c>
      <c r="P300">
        <v>43</v>
      </c>
      <c r="Q300">
        <v>1</v>
      </c>
      <c r="R300">
        <v>6.73</v>
      </c>
      <c r="S300" t="s">
        <v>41</v>
      </c>
      <c r="T300" t="s">
        <v>42</v>
      </c>
      <c r="U300">
        <v>11</v>
      </c>
    </row>
    <row r="301" spans="1:21" x14ac:dyDescent="0.25">
      <c r="A301" t="s">
        <v>34</v>
      </c>
      <c r="B301" t="s">
        <v>39</v>
      </c>
      <c r="C301" t="s">
        <v>36</v>
      </c>
      <c r="D301" t="s">
        <v>37</v>
      </c>
      <c r="E301" t="s">
        <v>24</v>
      </c>
      <c r="F301">
        <v>90</v>
      </c>
      <c r="G301">
        <v>87</v>
      </c>
      <c r="H301">
        <v>75</v>
      </c>
      <c r="J301">
        <v>90</v>
      </c>
      <c r="K301">
        <v>9.4868329809999992</v>
      </c>
      <c r="L301">
        <v>75</v>
      </c>
      <c r="M301">
        <v>90</v>
      </c>
      <c r="N301">
        <v>252</v>
      </c>
      <c r="O301">
        <v>84</v>
      </c>
      <c r="P301">
        <v>88.5</v>
      </c>
      <c r="Q301">
        <v>4</v>
      </c>
      <c r="R301">
        <v>9.17</v>
      </c>
      <c r="S301" t="s">
        <v>38</v>
      </c>
      <c r="T301" t="s">
        <v>26</v>
      </c>
      <c r="U301">
        <v>18</v>
      </c>
    </row>
    <row r="302" spans="1:21" x14ac:dyDescent="0.25">
      <c r="A302" t="s">
        <v>34</v>
      </c>
      <c r="B302" t="s">
        <v>35</v>
      </c>
      <c r="C302" t="s">
        <v>28</v>
      </c>
      <c r="D302" t="s">
        <v>37</v>
      </c>
      <c r="E302" t="s">
        <v>29</v>
      </c>
      <c r="F302">
        <v>81</v>
      </c>
      <c r="G302">
        <v>78</v>
      </c>
      <c r="H302">
        <v>81</v>
      </c>
      <c r="J302">
        <v>81</v>
      </c>
      <c r="K302">
        <v>9</v>
      </c>
      <c r="L302">
        <v>78</v>
      </c>
      <c r="M302">
        <v>81</v>
      </c>
      <c r="N302">
        <v>240</v>
      </c>
      <c r="O302">
        <v>80</v>
      </c>
      <c r="P302">
        <v>81</v>
      </c>
      <c r="Q302">
        <v>1</v>
      </c>
      <c r="R302">
        <v>8.94</v>
      </c>
      <c r="S302" t="s">
        <v>30</v>
      </c>
      <c r="T302" t="s">
        <v>31</v>
      </c>
      <c r="U302">
        <v>12</v>
      </c>
    </row>
    <row r="303" spans="1:21" x14ac:dyDescent="0.25">
      <c r="A303" t="s">
        <v>34</v>
      </c>
      <c r="B303" t="s">
        <v>39</v>
      </c>
      <c r="C303" t="s">
        <v>50</v>
      </c>
      <c r="D303" t="s">
        <v>37</v>
      </c>
      <c r="E303" t="s">
        <v>24</v>
      </c>
      <c r="F303">
        <v>56</v>
      </c>
      <c r="G303">
        <v>54</v>
      </c>
      <c r="H303">
        <v>52</v>
      </c>
      <c r="J303">
        <v>56</v>
      </c>
      <c r="K303">
        <v>7.4833147740000001</v>
      </c>
      <c r="L303">
        <v>52</v>
      </c>
      <c r="M303">
        <v>56</v>
      </c>
      <c r="N303">
        <v>162</v>
      </c>
      <c r="O303">
        <v>54</v>
      </c>
      <c r="P303">
        <v>55</v>
      </c>
      <c r="Q303">
        <v>4</v>
      </c>
      <c r="R303">
        <v>7.35</v>
      </c>
      <c r="S303" t="s">
        <v>30</v>
      </c>
      <c r="T303" t="s">
        <v>42</v>
      </c>
      <c r="U303">
        <v>16</v>
      </c>
    </row>
    <row r="304" spans="1:21" x14ac:dyDescent="0.25">
      <c r="A304" t="s">
        <v>20</v>
      </c>
      <c r="B304" t="s">
        <v>27</v>
      </c>
      <c r="C304" t="s">
        <v>36</v>
      </c>
      <c r="D304" t="s">
        <v>23</v>
      </c>
      <c r="E304" t="s">
        <v>29</v>
      </c>
      <c r="F304">
        <v>67</v>
      </c>
      <c r="G304">
        <v>84</v>
      </c>
      <c r="H304">
        <v>81</v>
      </c>
      <c r="J304">
        <v>67</v>
      </c>
      <c r="K304">
        <v>8.1853527719999999</v>
      </c>
      <c r="L304">
        <v>67</v>
      </c>
      <c r="M304">
        <v>84</v>
      </c>
      <c r="N304">
        <v>232</v>
      </c>
      <c r="O304">
        <v>77.333333330000002</v>
      </c>
      <c r="P304">
        <v>74</v>
      </c>
      <c r="Q304">
        <v>2</v>
      </c>
      <c r="R304">
        <v>8.7899999999999991</v>
      </c>
      <c r="S304" t="s">
        <v>38</v>
      </c>
      <c r="T304" t="s">
        <v>26</v>
      </c>
      <c r="U304">
        <v>18</v>
      </c>
    </row>
    <row r="305" spans="1:21" x14ac:dyDescent="0.25">
      <c r="A305" t="s">
        <v>34</v>
      </c>
      <c r="B305" t="s">
        <v>21</v>
      </c>
      <c r="C305" t="s">
        <v>36</v>
      </c>
      <c r="D305" t="s">
        <v>23</v>
      </c>
      <c r="E305" t="s">
        <v>24</v>
      </c>
      <c r="F305">
        <v>80</v>
      </c>
      <c r="G305">
        <v>76</v>
      </c>
      <c r="H305">
        <v>64</v>
      </c>
      <c r="J305">
        <v>80</v>
      </c>
      <c r="K305">
        <v>8.9442719099999994</v>
      </c>
      <c r="L305">
        <v>64</v>
      </c>
      <c r="M305">
        <v>80</v>
      </c>
      <c r="N305">
        <v>220</v>
      </c>
      <c r="O305">
        <v>73.333333330000002</v>
      </c>
      <c r="P305">
        <v>78</v>
      </c>
      <c r="Q305">
        <v>4</v>
      </c>
      <c r="R305">
        <v>8.56</v>
      </c>
      <c r="S305" t="s">
        <v>38</v>
      </c>
      <c r="T305" t="s">
        <v>26</v>
      </c>
      <c r="U305">
        <v>18</v>
      </c>
    </row>
    <row r="306" spans="1:21" x14ac:dyDescent="0.25">
      <c r="A306" t="s">
        <v>20</v>
      </c>
      <c r="B306" t="s">
        <v>27</v>
      </c>
      <c r="C306" t="s">
        <v>36</v>
      </c>
      <c r="D306" t="s">
        <v>23</v>
      </c>
      <c r="E306" t="s">
        <v>29</v>
      </c>
      <c r="F306">
        <v>74</v>
      </c>
      <c r="G306">
        <v>75</v>
      </c>
      <c r="H306">
        <v>83</v>
      </c>
      <c r="J306">
        <v>74</v>
      </c>
      <c r="K306">
        <v>8.6023252669999994</v>
      </c>
      <c r="L306">
        <v>74</v>
      </c>
      <c r="M306">
        <v>83</v>
      </c>
      <c r="N306">
        <v>232</v>
      </c>
      <c r="O306">
        <v>77.333333330000002</v>
      </c>
      <c r="P306">
        <v>74.5</v>
      </c>
      <c r="Q306">
        <v>1</v>
      </c>
      <c r="R306">
        <v>8.7899999999999991</v>
      </c>
      <c r="S306" t="s">
        <v>38</v>
      </c>
      <c r="T306" t="s">
        <v>26</v>
      </c>
      <c r="U306">
        <v>18</v>
      </c>
    </row>
    <row r="307" spans="1:21" x14ac:dyDescent="0.25">
      <c r="A307" t="s">
        <v>34</v>
      </c>
      <c r="B307" t="s">
        <v>35</v>
      </c>
      <c r="C307" t="s">
        <v>28</v>
      </c>
      <c r="D307" t="s">
        <v>23</v>
      </c>
      <c r="E307" t="s">
        <v>24</v>
      </c>
      <c r="F307">
        <v>69</v>
      </c>
      <c r="G307">
        <v>67</v>
      </c>
      <c r="H307">
        <v>69</v>
      </c>
      <c r="J307">
        <v>69</v>
      </c>
      <c r="K307">
        <v>8.3066238630000004</v>
      </c>
      <c r="L307">
        <v>67</v>
      </c>
      <c r="M307">
        <v>69</v>
      </c>
      <c r="N307">
        <v>205</v>
      </c>
      <c r="O307">
        <v>68.333333330000002</v>
      </c>
      <c r="P307">
        <v>69</v>
      </c>
      <c r="Q307">
        <v>1</v>
      </c>
      <c r="R307">
        <v>8.27</v>
      </c>
      <c r="S307" t="s">
        <v>30</v>
      </c>
      <c r="T307" t="s">
        <v>31</v>
      </c>
      <c r="U307">
        <v>12</v>
      </c>
    </row>
    <row r="308" spans="1:21" x14ac:dyDescent="0.25">
      <c r="A308" t="s">
        <v>34</v>
      </c>
      <c r="B308" t="s">
        <v>64</v>
      </c>
      <c r="C308" t="s">
        <v>28</v>
      </c>
      <c r="D308" t="s">
        <v>23</v>
      </c>
      <c r="E308" t="s">
        <v>29</v>
      </c>
      <c r="F308">
        <v>99</v>
      </c>
      <c r="G308">
        <v>87</v>
      </c>
      <c r="H308">
        <v>81</v>
      </c>
      <c r="J308">
        <v>99</v>
      </c>
      <c r="K308">
        <v>9.9498743709999999</v>
      </c>
      <c r="L308">
        <v>81</v>
      </c>
      <c r="M308">
        <v>99</v>
      </c>
      <c r="N308">
        <v>267</v>
      </c>
      <c r="O308">
        <v>89</v>
      </c>
      <c r="P308">
        <v>93</v>
      </c>
      <c r="Q308">
        <v>4</v>
      </c>
      <c r="R308">
        <v>9.43</v>
      </c>
      <c r="S308" t="s">
        <v>30</v>
      </c>
      <c r="T308" t="s">
        <v>31</v>
      </c>
      <c r="U308">
        <v>12</v>
      </c>
    </row>
    <row r="309" spans="1:21" x14ac:dyDescent="0.25">
      <c r="A309" t="s">
        <v>34</v>
      </c>
      <c r="B309" t="s">
        <v>27</v>
      </c>
      <c r="C309" t="s">
        <v>50</v>
      </c>
      <c r="D309" t="s">
        <v>23</v>
      </c>
      <c r="E309" t="s">
        <v>24</v>
      </c>
      <c r="F309">
        <v>51</v>
      </c>
      <c r="G309">
        <v>52</v>
      </c>
      <c r="H309">
        <v>44</v>
      </c>
      <c r="J309">
        <v>51</v>
      </c>
      <c r="K309">
        <v>7.1414284290000003</v>
      </c>
      <c r="L309">
        <v>44</v>
      </c>
      <c r="M309">
        <v>52</v>
      </c>
      <c r="N309">
        <v>147</v>
      </c>
      <c r="O309">
        <v>49</v>
      </c>
      <c r="P309">
        <v>51</v>
      </c>
      <c r="Q309">
        <v>4</v>
      </c>
      <c r="R309">
        <v>7</v>
      </c>
      <c r="S309" t="s">
        <v>30</v>
      </c>
      <c r="T309" t="s">
        <v>42</v>
      </c>
      <c r="U309">
        <v>16</v>
      </c>
    </row>
    <row r="310" spans="1:21" x14ac:dyDescent="0.25">
      <c r="A310" t="s">
        <v>20</v>
      </c>
      <c r="B310" t="s">
        <v>21</v>
      </c>
      <c r="C310" t="s">
        <v>36</v>
      </c>
      <c r="D310" t="s">
        <v>37</v>
      </c>
      <c r="E310" t="s">
        <v>24</v>
      </c>
      <c r="F310">
        <v>53</v>
      </c>
      <c r="G310">
        <v>71</v>
      </c>
      <c r="H310">
        <v>67</v>
      </c>
      <c r="J310">
        <v>53</v>
      </c>
      <c r="K310">
        <v>7.2801098890000002</v>
      </c>
      <c r="L310">
        <v>53</v>
      </c>
      <c r="M310">
        <v>71</v>
      </c>
      <c r="N310">
        <v>191</v>
      </c>
      <c r="O310">
        <v>63.666666669999998</v>
      </c>
      <c r="P310">
        <v>60</v>
      </c>
      <c r="Q310">
        <v>2</v>
      </c>
      <c r="R310">
        <v>7.98</v>
      </c>
      <c r="S310" t="s">
        <v>38</v>
      </c>
      <c r="T310" t="s">
        <v>26</v>
      </c>
      <c r="U310">
        <v>18</v>
      </c>
    </row>
    <row r="311" spans="1:21" x14ac:dyDescent="0.25">
      <c r="A311" t="s">
        <v>20</v>
      </c>
      <c r="B311" t="s">
        <v>39</v>
      </c>
      <c r="C311" t="s">
        <v>40</v>
      </c>
      <c r="D311" t="s">
        <v>37</v>
      </c>
      <c r="E311" t="s">
        <v>24</v>
      </c>
      <c r="F311">
        <v>49</v>
      </c>
      <c r="G311">
        <v>57</v>
      </c>
      <c r="H311">
        <v>52</v>
      </c>
      <c r="J311">
        <v>49</v>
      </c>
      <c r="K311">
        <v>7</v>
      </c>
      <c r="L311">
        <v>49</v>
      </c>
      <c r="M311">
        <v>57</v>
      </c>
      <c r="N311">
        <v>158</v>
      </c>
      <c r="O311">
        <v>52.666666669999998</v>
      </c>
      <c r="P311">
        <v>50.5</v>
      </c>
      <c r="Q311">
        <v>2</v>
      </c>
      <c r="R311">
        <v>7.26</v>
      </c>
      <c r="S311" t="s">
        <v>41</v>
      </c>
      <c r="T311" t="s">
        <v>42</v>
      </c>
      <c r="U311">
        <v>11</v>
      </c>
    </row>
    <row r="312" spans="1:21" x14ac:dyDescent="0.25">
      <c r="A312" t="s">
        <v>20</v>
      </c>
      <c r="B312" t="s">
        <v>21</v>
      </c>
      <c r="C312" t="s">
        <v>36</v>
      </c>
      <c r="D312" t="s">
        <v>23</v>
      </c>
      <c r="E312" t="s">
        <v>24</v>
      </c>
      <c r="F312">
        <v>73</v>
      </c>
      <c r="G312">
        <v>76</v>
      </c>
      <c r="H312">
        <v>80</v>
      </c>
      <c r="J312">
        <v>73</v>
      </c>
      <c r="K312">
        <v>8.5440037449999995</v>
      </c>
      <c r="L312">
        <v>73</v>
      </c>
      <c r="M312">
        <v>80</v>
      </c>
      <c r="N312">
        <v>229</v>
      </c>
      <c r="O312">
        <v>76.333333330000002</v>
      </c>
      <c r="P312">
        <v>74.5</v>
      </c>
      <c r="Q312">
        <v>1</v>
      </c>
      <c r="R312">
        <v>8.74</v>
      </c>
      <c r="S312" t="s">
        <v>38</v>
      </c>
      <c r="T312" t="s">
        <v>26</v>
      </c>
      <c r="U312">
        <v>18</v>
      </c>
    </row>
    <row r="313" spans="1:21" x14ac:dyDescent="0.25">
      <c r="A313" t="s">
        <v>34</v>
      </c>
      <c r="B313" t="s">
        <v>21</v>
      </c>
      <c r="C313" t="s">
        <v>22</v>
      </c>
      <c r="D313" t="s">
        <v>23</v>
      </c>
      <c r="E313" t="s">
        <v>24</v>
      </c>
      <c r="F313">
        <v>66</v>
      </c>
      <c r="G313">
        <v>60</v>
      </c>
      <c r="H313">
        <v>57</v>
      </c>
      <c r="J313">
        <v>66</v>
      </c>
      <c r="K313">
        <v>8.1240384050000003</v>
      </c>
      <c r="L313">
        <v>57</v>
      </c>
      <c r="M313">
        <v>66</v>
      </c>
      <c r="N313">
        <v>183</v>
      </c>
      <c r="O313">
        <v>61</v>
      </c>
      <c r="P313">
        <v>63</v>
      </c>
      <c r="Q313">
        <v>4</v>
      </c>
      <c r="R313">
        <v>7.81</v>
      </c>
      <c r="S313" t="s">
        <v>25</v>
      </c>
      <c r="T313" t="s">
        <v>26</v>
      </c>
      <c r="U313">
        <v>17</v>
      </c>
    </row>
    <row r="314" spans="1:21" x14ac:dyDescent="0.25">
      <c r="A314" t="s">
        <v>34</v>
      </c>
      <c r="B314" t="s">
        <v>39</v>
      </c>
      <c r="C314" t="s">
        <v>22</v>
      </c>
      <c r="D314" t="s">
        <v>23</v>
      </c>
      <c r="E314" t="s">
        <v>29</v>
      </c>
      <c r="F314">
        <v>67</v>
      </c>
      <c r="G314">
        <v>61</v>
      </c>
      <c r="H314">
        <v>68</v>
      </c>
      <c r="J314">
        <v>67</v>
      </c>
      <c r="K314">
        <v>8.1853527719999999</v>
      </c>
      <c r="L314">
        <v>61</v>
      </c>
      <c r="M314">
        <v>68</v>
      </c>
      <c r="N314">
        <v>196</v>
      </c>
      <c r="O314">
        <v>65.333333330000002</v>
      </c>
      <c r="P314">
        <v>67</v>
      </c>
      <c r="Q314">
        <v>1</v>
      </c>
      <c r="R314">
        <v>8.08</v>
      </c>
      <c r="S314" t="s">
        <v>25</v>
      </c>
      <c r="T314" t="s">
        <v>26</v>
      </c>
      <c r="U314">
        <v>17</v>
      </c>
    </row>
    <row r="315" spans="1:21" x14ac:dyDescent="0.25">
      <c r="A315" t="s">
        <v>20</v>
      </c>
      <c r="B315" t="s">
        <v>27</v>
      </c>
      <c r="C315" t="s">
        <v>36</v>
      </c>
      <c r="D315" t="s">
        <v>37</v>
      </c>
      <c r="E315" t="s">
        <v>29</v>
      </c>
      <c r="F315">
        <v>68</v>
      </c>
      <c r="G315">
        <v>67</v>
      </c>
      <c r="H315">
        <v>69</v>
      </c>
      <c r="J315">
        <v>68</v>
      </c>
      <c r="K315">
        <v>8.2462112510000001</v>
      </c>
      <c r="L315">
        <v>67</v>
      </c>
      <c r="M315">
        <v>69</v>
      </c>
      <c r="N315">
        <v>204</v>
      </c>
      <c r="O315">
        <v>68</v>
      </c>
      <c r="P315">
        <v>68</v>
      </c>
      <c r="Q315">
        <v>1</v>
      </c>
      <c r="R315">
        <v>8.25</v>
      </c>
      <c r="S315" t="s">
        <v>38</v>
      </c>
      <c r="T315" t="s">
        <v>26</v>
      </c>
      <c r="U315">
        <v>18</v>
      </c>
    </row>
    <row r="316" spans="1:21" x14ac:dyDescent="0.25">
      <c r="A316" t="s">
        <v>20</v>
      </c>
      <c r="B316" t="s">
        <v>27</v>
      </c>
      <c r="C316" t="s">
        <v>22</v>
      </c>
      <c r="D316" t="s">
        <v>23</v>
      </c>
      <c r="E316" t="s">
        <v>29</v>
      </c>
      <c r="F316">
        <v>59</v>
      </c>
      <c r="G316">
        <v>64</v>
      </c>
      <c r="H316">
        <v>75</v>
      </c>
      <c r="J316">
        <v>59</v>
      </c>
      <c r="K316">
        <v>7.6811457479999996</v>
      </c>
      <c r="L316">
        <v>59</v>
      </c>
      <c r="M316">
        <v>75</v>
      </c>
      <c r="N316">
        <v>198</v>
      </c>
      <c r="O316">
        <v>66</v>
      </c>
      <c r="P316">
        <v>61.5</v>
      </c>
      <c r="Q316">
        <v>1</v>
      </c>
      <c r="R316">
        <v>8.1199999999999992</v>
      </c>
      <c r="S316" t="s">
        <v>25</v>
      </c>
      <c r="T316" t="s">
        <v>26</v>
      </c>
      <c r="U316">
        <v>17</v>
      </c>
    </row>
    <row r="317" spans="1:21" x14ac:dyDescent="0.25">
      <c r="A317" t="s">
        <v>34</v>
      </c>
      <c r="B317" t="s">
        <v>27</v>
      </c>
      <c r="C317" t="s">
        <v>40</v>
      </c>
      <c r="D317" t="s">
        <v>23</v>
      </c>
      <c r="E317" t="s">
        <v>24</v>
      </c>
      <c r="F317">
        <v>71</v>
      </c>
      <c r="G317">
        <v>66</v>
      </c>
      <c r="H317">
        <v>65</v>
      </c>
      <c r="J317">
        <v>71</v>
      </c>
      <c r="K317">
        <v>8.4261497730000006</v>
      </c>
      <c r="L317">
        <v>65</v>
      </c>
      <c r="M317">
        <v>71</v>
      </c>
      <c r="N317">
        <v>202</v>
      </c>
      <c r="O317">
        <v>67.333333330000002</v>
      </c>
      <c r="P317">
        <v>68.5</v>
      </c>
      <c r="Q317">
        <v>4</v>
      </c>
      <c r="R317">
        <v>8.2100000000000009</v>
      </c>
      <c r="S317" t="s">
        <v>41</v>
      </c>
      <c r="T317" t="s">
        <v>42</v>
      </c>
      <c r="U317">
        <v>11</v>
      </c>
    </row>
    <row r="318" spans="1:21" x14ac:dyDescent="0.25">
      <c r="A318" t="s">
        <v>20</v>
      </c>
      <c r="B318" t="s">
        <v>39</v>
      </c>
      <c r="C318" t="s">
        <v>32</v>
      </c>
      <c r="D318" t="s">
        <v>23</v>
      </c>
      <c r="E318" t="s">
        <v>29</v>
      </c>
      <c r="F318">
        <v>77</v>
      </c>
      <c r="G318">
        <v>82</v>
      </c>
      <c r="H318">
        <v>91</v>
      </c>
      <c r="J318">
        <v>77</v>
      </c>
      <c r="K318">
        <v>8.7749643870000007</v>
      </c>
      <c r="L318">
        <v>77</v>
      </c>
      <c r="M318">
        <v>91</v>
      </c>
      <c r="N318">
        <v>250</v>
      </c>
      <c r="O318">
        <v>83.333333330000002</v>
      </c>
      <c r="P318">
        <v>79.5</v>
      </c>
      <c r="Q318">
        <v>1</v>
      </c>
      <c r="R318">
        <v>9.1300000000000008</v>
      </c>
      <c r="S318" t="s">
        <v>33</v>
      </c>
      <c r="T318" t="s">
        <v>26</v>
      </c>
      <c r="U318">
        <v>15</v>
      </c>
    </row>
    <row r="319" spans="1:21" x14ac:dyDescent="0.25">
      <c r="A319" t="s">
        <v>34</v>
      </c>
      <c r="B319" t="s">
        <v>27</v>
      </c>
      <c r="C319" t="s">
        <v>36</v>
      </c>
      <c r="D319" t="s">
        <v>23</v>
      </c>
      <c r="E319" t="s">
        <v>24</v>
      </c>
      <c r="F319">
        <v>83</v>
      </c>
      <c r="G319">
        <v>72</v>
      </c>
      <c r="H319">
        <v>78</v>
      </c>
      <c r="J319">
        <v>83</v>
      </c>
      <c r="K319">
        <v>9.1104335790000004</v>
      </c>
      <c r="L319">
        <v>72</v>
      </c>
      <c r="M319">
        <v>83</v>
      </c>
      <c r="N319">
        <v>233</v>
      </c>
      <c r="O319">
        <v>77.666666669999998</v>
      </c>
      <c r="P319">
        <v>80.5</v>
      </c>
      <c r="Q319">
        <v>3</v>
      </c>
      <c r="R319">
        <v>8.81</v>
      </c>
      <c r="S319" t="s">
        <v>38</v>
      </c>
      <c r="T319" t="s">
        <v>26</v>
      </c>
      <c r="U319">
        <v>18</v>
      </c>
    </row>
    <row r="320" spans="1:21" x14ac:dyDescent="0.25">
      <c r="A320" t="s">
        <v>34</v>
      </c>
      <c r="B320" t="s">
        <v>21</v>
      </c>
      <c r="C320" t="s">
        <v>22</v>
      </c>
      <c r="D320" t="s">
        <v>23</v>
      </c>
      <c r="E320" t="s">
        <v>24</v>
      </c>
      <c r="F320">
        <v>63</v>
      </c>
      <c r="G320">
        <v>71</v>
      </c>
      <c r="H320">
        <v>69</v>
      </c>
      <c r="J320">
        <v>63</v>
      </c>
      <c r="K320">
        <v>7.937253933</v>
      </c>
      <c r="L320">
        <v>63</v>
      </c>
      <c r="M320">
        <v>71</v>
      </c>
      <c r="N320">
        <v>203</v>
      </c>
      <c r="O320">
        <v>67.666666669999998</v>
      </c>
      <c r="P320">
        <v>66</v>
      </c>
      <c r="Q320">
        <v>2</v>
      </c>
      <c r="R320">
        <v>8.23</v>
      </c>
      <c r="S320" t="s">
        <v>25</v>
      </c>
      <c r="T320" t="s">
        <v>26</v>
      </c>
      <c r="U320">
        <v>17</v>
      </c>
    </row>
    <row r="321" spans="1:21" x14ac:dyDescent="0.25">
      <c r="A321" t="s">
        <v>20</v>
      </c>
      <c r="B321" t="s">
        <v>39</v>
      </c>
      <c r="C321" t="s">
        <v>36</v>
      </c>
      <c r="D321" t="s">
        <v>37</v>
      </c>
      <c r="E321" t="s">
        <v>24</v>
      </c>
      <c r="F321">
        <v>56</v>
      </c>
      <c r="G321">
        <v>65</v>
      </c>
      <c r="H321">
        <v>63</v>
      </c>
      <c r="J321">
        <v>56</v>
      </c>
      <c r="K321">
        <v>7.4833147740000001</v>
      </c>
      <c r="L321">
        <v>56</v>
      </c>
      <c r="M321">
        <v>65</v>
      </c>
      <c r="N321">
        <v>184</v>
      </c>
      <c r="O321">
        <v>61.333333330000002</v>
      </c>
      <c r="P321">
        <v>59.5</v>
      </c>
      <c r="Q321">
        <v>2</v>
      </c>
      <c r="R321">
        <v>7.83</v>
      </c>
      <c r="S321" t="s">
        <v>38</v>
      </c>
      <c r="T321" t="s">
        <v>26</v>
      </c>
      <c r="U321">
        <v>18</v>
      </c>
    </row>
    <row r="322" spans="1:21" x14ac:dyDescent="0.25">
      <c r="A322" t="s">
        <v>20</v>
      </c>
      <c r="B322" t="s">
        <v>27</v>
      </c>
      <c r="C322" t="s">
        <v>40</v>
      </c>
      <c r="D322" t="s">
        <v>37</v>
      </c>
      <c r="E322" t="s">
        <v>29</v>
      </c>
      <c r="F322">
        <v>67</v>
      </c>
      <c r="G322">
        <v>79</v>
      </c>
      <c r="H322">
        <v>84</v>
      </c>
      <c r="J322">
        <v>67</v>
      </c>
      <c r="K322">
        <v>8.1853527719999999</v>
      </c>
      <c r="L322">
        <v>67</v>
      </c>
      <c r="M322">
        <v>84</v>
      </c>
      <c r="N322">
        <v>230</v>
      </c>
      <c r="O322">
        <v>76.666666669999998</v>
      </c>
      <c r="P322">
        <v>73</v>
      </c>
      <c r="Q322">
        <v>1</v>
      </c>
      <c r="R322">
        <v>8.76</v>
      </c>
      <c r="S322" t="s">
        <v>41</v>
      </c>
      <c r="T322" t="s">
        <v>42</v>
      </c>
      <c r="U322">
        <v>11</v>
      </c>
    </row>
    <row r="323" spans="1:21" x14ac:dyDescent="0.25">
      <c r="A323" t="s">
        <v>20</v>
      </c>
      <c r="B323" t="s">
        <v>64</v>
      </c>
      <c r="C323" t="s">
        <v>40</v>
      </c>
      <c r="D323" t="s">
        <v>23</v>
      </c>
      <c r="E323" t="s">
        <v>24</v>
      </c>
      <c r="F323">
        <v>75</v>
      </c>
      <c r="G323">
        <v>86</v>
      </c>
      <c r="H323">
        <v>79</v>
      </c>
      <c r="J323">
        <v>75</v>
      </c>
      <c r="K323">
        <v>8.6602540379999997</v>
      </c>
      <c r="L323">
        <v>75</v>
      </c>
      <c r="M323">
        <v>86</v>
      </c>
      <c r="N323">
        <v>240</v>
      </c>
      <c r="O323">
        <v>80</v>
      </c>
      <c r="P323">
        <v>77</v>
      </c>
      <c r="Q323">
        <v>2</v>
      </c>
      <c r="R323">
        <v>8.94</v>
      </c>
      <c r="S323" t="s">
        <v>41</v>
      </c>
      <c r="T323" t="s">
        <v>42</v>
      </c>
      <c r="U323">
        <v>11</v>
      </c>
    </row>
    <row r="324" spans="1:21" x14ac:dyDescent="0.25">
      <c r="A324" t="s">
        <v>20</v>
      </c>
      <c r="B324" t="s">
        <v>27</v>
      </c>
      <c r="C324" t="s">
        <v>28</v>
      </c>
      <c r="D324" t="s">
        <v>23</v>
      </c>
      <c r="E324" t="s">
        <v>24</v>
      </c>
      <c r="F324">
        <v>71</v>
      </c>
      <c r="G324">
        <v>81</v>
      </c>
      <c r="H324">
        <v>80</v>
      </c>
      <c r="J324">
        <v>71</v>
      </c>
      <c r="K324">
        <v>8.4261497730000006</v>
      </c>
      <c r="L324">
        <v>71</v>
      </c>
      <c r="M324">
        <v>81</v>
      </c>
      <c r="N324">
        <v>232</v>
      </c>
      <c r="O324">
        <v>77.333333330000002</v>
      </c>
      <c r="P324">
        <v>75.5</v>
      </c>
      <c r="Q324">
        <v>2</v>
      </c>
      <c r="R324">
        <v>8.7899999999999991</v>
      </c>
      <c r="S324" t="s">
        <v>30</v>
      </c>
      <c r="T324" t="s">
        <v>31</v>
      </c>
      <c r="U324">
        <v>12</v>
      </c>
    </row>
    <row r="325" spans="1:21" x14ac:dyDescent="0.25">
      <c r="A325" t="s">
        <v>20</v>
      </c>
      <c r="B325" t="s">
        <v>27</v>
      </c>
      <c r="C325" t="s">
        <v>50</v>
      </c>
      <c r="D325" t="s">
        <v>37</v>
      </c>
      <c r="E325" t="s">
        <v>24</v>
      </c>
      <c r="F325">
        <v>43</v>
      </c>
      <c r="G325">
        <v>53</v>
      </c>
      <c r="H325">
        <v>53</v>
      </c>
      <c r="J325">
        <v>43</v>
      </c>
      <c r="K325">
        <v>6.5574385240000002</v>
      </c>
      <c r="L325">
        <v>43</v>
      </c>
      <c r="M325">
        <v>53</v>
      </c>
      <c r="N325">
        <v>149</v>
      </c>
      <c r="O325">
        <v>49.666666669999998</v>
      </c>
      <c r="P325">
        <v>48</v>
      </c>
      <c r="Q325">
        <v>1</v>
      </c>
      <c r="R325">
        <v>7.05</v>
      </c>
      <c r="S325" t="s">
        <v>30</v>
      </c>
      <c r="T325" t="s">
        <v>42</v>
      </c>
      <c r="U325">
        <v>16</v>
      </c>
    </row>
    <row r="326" spans="1:21" x14ac:dyDescent="0.25">
      <c r="A326" t="s">
        <v>20</v>
      </c>
      <c r="B326" t="s">
        <v>27</v>
      </c>
      <c r="C326" t="s">
        <v>40</v>
      </c>
      <c r="D326" t="s">
        <v>37</v>
      </c>
      <c r="E326" t="s">
        <v>24</v>
      </c>
      <c r="F326">
        <v>41</v>
      </c>
      <c r="G326">
        <v>46</v>
      </c>
      <c r="H326">
        <v>43</v>
      </c>
      <c r="J326">
        <v>41</v>
      </c>
      <c r="K326">
        <v>6.4031242370000001</v>
      </c>
      <c r="L326">
        <v>41</v>
      </c>
      <c r="M326">
        <v>46</v>
      </c>
      <c r="N326">
        <v>130</v>
      </c>
      <c r="O326">
        <v>43.333333330000002</v>
      </c>
      <c r="P326">
        <v>42</v>
      </c>
      <c r="Q326">
        <v>2</v>
      </c>
      <c r="R326">
        <v>6.58</v>
      </c>
      <c r="S326" t="s">
        <v>41</v>
      </c>
      <c r="T326" t="s">
        <v>42</v>
      </c>
      <c r="U326">
        <v>11</v>
      </c>
    </row>
    <row r="327" spans="1:21" x14ac:dyDescent="0.25">
      <c r="A327" t="s">
        <v>20</v>
      </c>
      <c r="B327" t="s">
        <v>27</v>
      </c>
      <c r="C327" t="s">
        <v>28</v>
      </c>
      <c r="D327" t="s">
        <v>23</v>
      </c>
      <c r="E327" t="s">
        <v>24</v>
      </c>
      <c r="F327">
        <v>82</v>
      </c>
      <c r="G327">
        <v>90</v>
      </c>
      <c r="H327">
        <v>94</v>
      </c>
      <c r="J327">
        <v>82</v>
      </c>
      <c r="K327">
        <v>9.0553851380000001</v>
      </c>
      <c r="L327">
        <v>82</v>
      </c>
      <c r="M327">
        <v>94</v>
      </c>
      <c r="N327">
        <v>266</v>
      </c>
      <c r="O327">
        <v>88.666666669999998</v>
      </c>
      <c r="P327">
        <v>86</v>
      </c>
      <c r="Q327">
        <v>1</v>
      </c>
      <c r="R327">
        <v>9.42</v>
      </c>
      <c r="S327" t="s">
        <v>30</v>
      </c>
      <c r="T327" t="s">
        <v>31</v>
      </c>
      <c r="U327">
        <v>12</v>
      </c>
    </row>
    <row r="328" spans="1:21" x14ac:dyDescent="0.25">
      <c r="A328" t="s">
        <v>34</v>
      </c>
      <c r="B328" t="s">
        <v>27</v>
      </c>
      <c r="C328" t="s">
        <v>28</v>
      </c>
      <c r="D328" t="s">
        <v>23</v>
      </c>
      <c r="E328" t="s">
        <v>24</v>
      </c>
      <c r="F328">
        <v>61</v>
      </c>
      <c r="G328">
        <v>61</v>
      </c>
      <c r="H328">
        <v>62</v>
      </c>
      <c r="J328">
        <v>61</v>
      </c>
      <c r="K328">
        <v>7.8102496759999998</v>
      </c>
      <c r="L328">
        <v>61</v>
      </c>
      <c r="M328">
        <v>62</v>
      </c>
      <c r="N328">
        <v>184</v>
      </c>
      <c r="O328">
        <v>61.333333330000002</v>
      </c>
      <c r="P328">
        <v>61</v>
      </c>
      <c r="Q328">
        <v>1</v>
      </c>
      <c r="R328">
        <v>7.83</v>
      </c>
      <c r="S328" t="s">
        <v>30</v>
      </c>
      <c r="T328" t="s">
        <v>31</v>
      </c>
      <c r="U328">
        <v>12</v>
      </c>
    </row>
    <row r="329" spans="1:21" x14ac:dyDescent="0.25">
      <c r="A329" t="s">
        <v>34</v>
      </c>
      <c r="B329" t="s">
        <v>35</v>
      </c>
      <c r="C329" t="s">
        <v>28</v>
      </c>
      <c r="D329" t="s">
        <v>37</v>
      </c>
      <c r="E329" t="s">
        <v>24</v>
      </c>
      <c r="F329">
        <v>28</v>
      </c>
      <c r="G329">
        <v>23</v>
      </c>
      <c r="H329">
        <v>19</v>
      </c>
      <c r="J329">
        <v>28</v>
      </c>
      <c r="K329">
        <v>5.2915026220000003</v>
      </c>
      <c r="L329">
        <v>19</v>
      </c>
      <c r="M329">
        <v>28</v>
      </c>
      <c r="N329">
        <v>70</v>
      </c>
      <c r="O329">
        <v>23.333333329999999</v>
      </c>
      <c r="P329">
        <v>25.5</v>
      </c>
      <c r="Q329">
        <v>4</v>
      </c>
      <c r="R329">
        <v>4.83</v>
      </c>
      <c r="S329" t="s">
        <v>30</v>
      </c>
      <c r="T329" t="s">
        <v>31</v>
      </c>
      <c r="U329">
        <v>12</v>
      </c>
    </row>
    <row r="330" spans="1:21" x14ac:dyDescent="0.25">
      <c r="A330" t="s">
        <v>34</v>
      </c>
      <c r="B330" t="s">
        <v>27</v>
      </c>
      <c r="C330" t="s">
        <v>36</v>
      </c>
      <c r="D330" t="s">
        <v>23</v>
      </c>
      <c r="E330" t="s">
        <v>29</v>
      </c>
      <c r="F330">
        <v>82</v>
      </c>
      <c r="G330">
        <v>75</v>
      </c>
      <c r="H330">
        <v>77</v>
      </c>
      <c r="J330">
        <v>82</v>
      </c>
      <c r="K330">
        <v>9.0553851380000001</v>
      </c>
      <c r="L330">
        <v>75</v>
      </c>
      <c r="M330">
        <v>82</v>
      </c>
      <c r="N330">
        <v>234</v>
      </c>
      <c r="O330">
        <v>78</v>
      </c>
      <c r="P330">
        <v>79.5</v>
      </c>
      <c r="Q330">
        <v>3</v>
      </c>
      <c r="R330">
        <v>8.83</v>
      </c>
      <c r="S330" t="s">
        <v>38</v>
      </c>
      <c r="T330" t="s">
        <v>26</v>
      </c>
      <c r="U330">
        <v>18</v>
      </c>
    </row>
    <row r="331" spans="1:21" x14ac:dyDescent="0.25">
      <c r="A331" t="s">
        <v>20</v>
      </c>
      <c r="B331" t="s">
        <v>21</v>
      </c>
      <c r="C331" t="s">
        <v>50</v>
      </c>
      <c r="D331" t="s">
        <v>23</v>
      </c>
      <c r="E331" t="s">
        <v>24</v>
      </c>
      <c r="F331">
        <v>41</v>
      </c>
      <c r="G331">
        <v>55</v>
      </c>
      <c r="H331">
        <v>51</v>
      </c>
      <c r="J331">
        <v>41</v>
      </c>
      <c r="K331">
        <v>6.4031242370000001</v>
      </c>
      <c r="L331">
        <v>41</v>
      </c>
      <c r="M331">
        <v>55</v>
      </c>
      <c r="N331">
        <v>147</v>
      </c>
      <c r="O331">
        <v>49</v>
      </c>
      <c r="P331">
        <v>46</v>
      </c>
      <c r="Q331">
        <v>2</v>
      </c>
      <c r="R331">
        <v>7</v>
      </c>
      <c r="S331" t="s">
        <v>30</v>
      </c>
      <c r="T331" t="s">
        <v>42</v>
      </c>
      <c r="U331">
        <v>16</v>
      </c>
    </row>
    <row r="332" spans="1:21" x14ac:dyDescent="0.25">
      <c r="A332" t="s">
        <v>34</v>
      </c>
      <c r="B332" t="s">
        <v>27</v>
      </c>
      <c r="C332" t="s">
        <v>40</v>
      </c>
      <c r="D332" t="s">
        <v>23</v>
      </c>
      <c r="E332" t="s">
        <v>24</v>
      </c>
      <c r="F332">
        <v>71</v>
      </c>
      <c r="G332">
        <v>60</v>
      </c>
      <c r="H332">
        <v>61</v>
      </c>
      <c r="J332">
        <v>71</v>
      </c>
      <c r="K332">
        <v>8.4261497730000006</v>
      </c>
      <c r="L332">
        <v>60</v>
      </c>
      <c r="M332">
        <v>71</v>
      </c>
      <c r="N332">
        <v>192</v>
      </c>
      <c r="O332">
        <v>64</v>
      </c>
      <c r="P332">
        <v>66</v>
      </c>
      <c r="Q332">
        <v>3</v>
      </c>
      <c r="R332">
        <v>8</v>
      </c>
      <c r="S332" t="s">
        <v>41</v>
      </c>
      <c r="T332" t="s">
        <v>42</v>
      </c>
      <c r="U332">
        <v>11</v>
      </c>
    </row>
    <row r="333" spans="1:21" x14ac:dyDescent="0.25">
      <c r="A333" t="s">
        <v>34</v>
      </c>
      <c r="B333" t="s">
        <v>27</v>
      </c>
      <c r="C333" t="s">
        <v>36</v>
      </c>
      <c r="D333" t="s">
        <v>23</v>
      </c>
      <c r="E333" t="s">
        <v>24</v>
      </c>
      <c r="F333">
        <v>47</v>
      </c>
      <c r="G333">
        <v>37</v>
      </c>
      <c r="H333">
        <v>35</v>
      </c>
      <c r="J333">
        <v>47</v>
      </c>
      <c r="K333">
        <v>6.8556546000000003</v>
      </c>
      <c r="L333">
        <v>35</v>
      </c>
      <c r="M333">
        <v>47</v>
      </c>
      <c r="N333">
        <v>119</v>
      </c>
      <c r="O333">
        <v>39.666666669999998</v>
      </c>
      <c r="P333">
        <v>42</v>
      </c>
      <c r="Q333">
        <v>4</v>
      </c>
      <c r="R333">
        <v>6.3</v>
      </c>
      <c r="S333" t="s">
        <v>38</v>
      </c>
      <c r="T333" t="s">
        <v>26</v>
      </c>
      <c r="U333">
        <v>18</v>
      </c>
    </row>
    <row r="334" spans="1:21" x14ac:dyDescent="0.25">
      <c r="A334" t="s">
        <v>34</v>
      </c>
      <c r="B334" t="s">
        <v>64</v>
      </c>
      <c r="C334" t="s">
        <v>36</v>
      </c>
      <c r="D334" t="s">
        <v>23</v>
      </c>
      <c r="E334" t="s">
        <v>29</v>
      </c>
      <c r="F334">
        <v>62</v>
      </c>
      <c r="G334">
        <v>56</v>
      </c>
      <c r="H334">
        <v>53</v>
      </c>
      <c r="J334">
        <v>62</v>
      </c>
      <c r="K334">
        <v>7.8740078740000001</v>
      </c>
      <c r="L334">
        <v>53</v>
      </c>
      <c r="M334">
        <v>62</v>
      </c>
      <c r="N334">
        <v>171</v>
      </c>
      <c r="O334">
        <v>57</v>
      </c>
      <c r="P334">
        <v>59</v>
      </c>
      <c r="Q334">
        <v>4</v>
      </c>
      <c r="R334">
        <v>7.55</v>
      </c>
      <c r="S334" t="s">
        <v>38</v>
      </c>
      <c r="T334" t="s">
        <v>26</v>
      </c>
      <c r="U334">
        <v>18</v>
      </c>
    </row>
    <row r="335" spans="1:21" x14ac:dyDescent="0.25">
      <c r="A335" t="s">
        <v>34</v>
      </c>
      <c r="B335" t="s">
        <v>21</v>
      </c>
      <c r="C335" t="s">
        <v>36</v>
      </c>
      <c r="D335" t="s">
        <v>23</v>
      </c>
      <c r="E335" t="s">
        <v>24</v>
      </c>
      <c r="F335">
        <v>90</v>
      </c>
      <c r="G335">
        <v>78</v>
      </c>
      <c r="H335">
        <v>81</v>
      </c>
      <c r="J335">
        <v>90</v>
      </c>
      <c r="K335">
        <v>9.4868329809999992</v>
      </c>
      <c r="L335">
        <v>78</v>
      </c>
      <c r="M335">
        <v>90</v>
      </c>
      <c r="N335">
        <v>249</v>
      </c>
      <c r="O335">
        <v>83</v>
      </c>
      <c r="P335">
        <v>85.5</v>
      </c>
      <c r="Q335">
        <v>3</v>
      </c>
      <c r="R335">
        <v>9.11</v>
      </c>
      <c r="S335" t="s">
        <v>38</v>
      </c>
      <c r="T335" t="s">
        <v>26</v>
      </c>
      <c r="U335">
        <v>18</v>
      </c>
    </row>
    <row r="336" spans="1:21" x14ac:dyDescent="0.25">
      <c r="A336" t="s">
        <v>20</v>
      </c>
      <c r="B336" t="s">
        <v>27</v>
      </c>
      <c r="C336" t="s">
        <v>22</v>
      </c>
      <c r="D336" t="s">
        <v>23</v>
      </c>
      <c r="E336" t="s">
        <v>24</v>
      </c>
      <c r="F336">
        <v>83</v>
      </c>
      <c r="G336">
        <v>93</v>
      </c>
      <c r="H336">
        <v>95</v>
      </c>
      <c r="J336">
        <v>83</v>
      </c>
      <c r="K336">
        <v>9.1104335790000004</v>
      </c>
      <c r="L336">
        <v>83</v>
      </c>
      <c r="M336">
        <v>95</v>
      </c>
      <c r="N336">
        <v>271</v>
      </c>
      <c r="O336">
        <v>90.333333330000002</v>
      </c>
      <c r="P336">
        <v>88</v>
      </c>
      <c r="Q336">
        <v>1</v>
      </c>
      <c r="R336">
        <v>9.5</v>
      </c>
      <c r="S336" t="s">
        <v>25</v>
      </c>
      <c r="T336" t="s">
        <v>26</v>
      </c>
      <c r="U336">
        <v>17</v>
      </c>
    </row>
    <row r="337" spans="1:21" x14ac:dyDescent="0.25">
      <c r="A337" t="s">
        <v>20</v>
      </c>
      <c r="B337" t="s">
        <v>21</v>
      </c>
      <c r="C337" t="s">
        <v>28</v>
      </c>
      <c r="D337" t="s">
        <v>37</v>
      </c>
      <c r="E337" t="s">
        <v>24</v>
      </c>
      <c r="F337">
        <v>61</v>
      </c>
      <c r="G337">
        <v>68</v>
      </c>
      <c r="H337">
        <v>66</v>
      </c>
      <c r="J337">
        <v>61</v>
      </c>
      <c r="K337">
        <v>7.8102496759999998</v>
      </c>
      <c r="L337">
        <v>61</v>
      </c>
      <c r="M337">
        <v>68</v>
      </c>
      <c r="N337">
        <v>195</v>
      </c>
      <c r="O337">
        <v>65</v>
      </c>
      <c r="P337">
        <v>63.5</v>
      </c>
      <c r="Q337">
        <v>2</v>
      </c>
      <c r="R337">
        <v>8.06</v>
      </c>
      <c r="S337" t="s">
        <v>30</v>
      </c>
      <c r="T337" t="s">
        <v>31</v>
      </c>
      <c r="U337">
        <v>12</v>
      </c>
    </row>
    <row r="338" spans="1:21" x14ac:dyDescent="0.25">
      <c r="A338" t="s">
        <v>34</v>
      </c>
      <c r="B338" t="s">
        <v>39</v>
      </c>
      <c r="C338" t="s">
        <v>50</v>
      </c>
      <c r="D338" t="s">
        <v>23</v>
      </c>
      <c r="E338" t="s">
        <v>29</v>
      </c>
      <c r="F338">
        <v>76</v>
      </c>
      <c r="G338">
        <v>70</v>
      </c>
      <c r="H338">
        <v>69</v>
      </c>
      <c r="J338">
        <v>76</v>
      </c>
      <c r="K338">
        <v>8.7177978869999997</v>
      </c>
      <c r="L338">
        <v>69</v>
      </c>
      <c r="M338">
        <v>76</v>
      </c>
      <c r="N338">
        <v>215</v>
      </c>
      <c r="O338">
        <v>71.666666669999998</v>
      </c>
      <c r="P338">
        <v>73</v>
      </c>
      <c r="Q338">
        <v>4</v>
      </c>
      <c r="R338">
        <v>8.4700000000000006</v>
      </c>
      <c r="S338" t="s">
        <v>30</v>
      </c>
      <c r="T338" t="s">
        <v>42</v>
      </c>
      <c r="U338">
        <v>16</v>
      </c>
    </row>
    <row r="339" spans="1:21" x14ac:dyDescent="0.25">
      <c r="A339" t="s">
        <v>34</v>
      </c>
      <c r="B339" t="s">
        <v>27</v>
      </c>
      <c r="C339" t="s">
        <v>36</v>
      </c>
      <c r="D339" t="s">
        <v>23</v>
      </c>
      <c r="E339" t="s">
        <v>24</v>
      </c>
      <c r="F339">
        <v>49</v>
      </c>
      <c r="G339">
        <v>51</v>
      </c>
      <c r="H339">
        <v>43</v>
      </c>
      <c r="J339">
        <v>49</v>
      </c>
      <c r="K339">
        <v>7</v>
      </c>
      <c r="L339">
        <v>43</v>
      </c>
      <c r="M339">
        <v>51</v>
      </c>
      <c r="N339">
        <v>143</v>
      </c>
      <c r="O339">
        <v>47.666666669999998</v>
      </c>
      <c r="P339">
        <v>49</v>
      </c>
      <c r="Q339">
        <v>4</v>
      </c>
      <c r="R339">
        <v>6.9</v>
      </c>
      <c r="S339" t="s">
        <v>38</v>
      </c>
      <c r="T339" t="s">
        <v>26</v>
      </c>
      <c r="U339">
        <v>18</v>
      </c>
    </row>
    <row r="340" spans="1:21" x14ac:dyDescent="0.25">
      <c r="A340" t="s">
        <v>20</v>
      </c>
      <c r="B340" t="s">
        <v>21</v>
      </c>
      <c r="C340" t="s">
        <v>50</v>
      </c>
      <c r="D340" t="s">
        <v>37</v>
      </c>
      <c r="E340" t="s">
        <v>24</v>
      </c>
      <c r="F340">
        <v>24</v>
      </c>
      <c r="G340">
        <v>38</v>
      </c>
      <c r="H340">
        <v>27</v>
      </c>
      <c r="J340">
        <v>24</v>
      </c>
      <c r="K340">
        <v>4.898979486</v>
      </c>
      <c r="L340">
        <v>24</v>
      </c>
      <c r="M340">
        <v>38</v>
      </c>
      <c r="N340">
        <v>89</v>
      </c>
      <c r="O340">
        <v>29.666666670000001</v>
      </c>
      <c r="P340">
        <v>25.5</v>
      </c>
      <c r="Q340">
        <v>2</v>
      </c>
      <c r="R340">
        <v>5.45</v>
      </c>
      <c r="S340" t="s">
        <v>30</v>
      </c>
      <c r="T340" t="s">
        <v>42</v>
      </c>
      <c r="U340">
        <v>16</v>
      </c>
    </row>
    <row r="341" spans="1:21" x14ac:dyDescent="0.25">
      <c r="A341" t="s">
        <v>20</v>
      </c>
      <c r="B341" t="s">
        <v>39</v>
      </c>
      <c r="C341" t="s">
        <v>50</v>
      </c>
      <c r="D341" t="s">
        <v>37</v>
      </c>
      <c r="E341" t="s">
        <v>29</v>
      </c>
      <c r="F341">
        <v>35</v>
      </c>
      <c r="G341">
        <v>55</v>
      </c>
      <c r="H341">
        <v>60</v>
      </c>
      <c r="J341">
        <v>35</v>
      </c>
      <c r="K341">
        <v>5.9160797829999998</v>
      </c>
      <c r="L341">
        <v>35</v>
      </c>
      <c r="M341">
        <v>60</v>
      </c>
      <c r="N341">
        <v>150</v>
      </c>
      <c r="O341">
        <v>50</v>
      </c>
      <c r="P341">
        <v>45</v>
      </c>
      <c r="Q341">
        <v>1</v>
      </c>
      <c r="R341">
        <v>7.07</v>
      </c>
      <c r="S341" t="s">
        <v>30</v>
      </c>
      <c r="T341" t="s">
        <v>42</v>
      </c>
      <c r="U341">
        <v>16</v>
      </c>
    </row>
    <row r="342" spans="1:21" x14ac:dyDescent="0.25">
      <c r="A342" t="s">
        <v>34</v>
      </c>
      <c r="B342" t="s">
        <v>27</v>
      </c>
      <c r="C342" t="s">
        <v>40</v>
      </c>
      <c r="D342" t="s">
        <v>37</v>
      </c>
      <c r="E342" t="s">
        <v>24</v>
      </c>
      <c r="F342">
        <v>58</v>
      </c>
      <c r="G342">
        <v>61</v>
      </c>
      <c r="H342">
        <v>52</v>
      </c>
      <c r="J342">
        <v>58</v>
      </c>
      <c r="K342">
        <v>7.6157731059999998</v>
      </c>
      <c r="L342">
        <v>52</v>
      </c>
      <c r="M342">
        <v>61</v>
      </c>
      <c r="N342">
        <v>171</v>
      </c>
      <c r="O342">
        <v>57</v>
      </c>
      <c r="P342">
        <v>58</v>
      </c>
      <c r="Q342">
        <v>4</v>
      </c>
      <c r="R342">
        <v>7.55</v>
      </c>
      <c r="S342" t="s">
        <v>41</v>
      </c>
      <c r="T342" t="s">
        <v>42</v>
      </c>
      <c r="U342">
        <v>11</v>
      </c>
    </row>
    <row r="343" spans="1:21" x14ac:dyDescent="0.25">
      <c r="A343" t="s">
        <v>20</v>
      </c>
      <c r="B343" t="s">
        <v>27</v>
      </c>
      <c r="C343" t="s">
        <v>40</v>
      </c>
      <c r="D343" t="s">
        <v>23</v>
      </c>
      <c r="E343" t="s">
        <v>24</v>
      </c>
      <c r="F343">
        <v>61</v>
      </c>
      <c r="G343">
        <v>73</v>
      </c>
      <c r="H343">
        <v>63</v>
      </c>
      <c r="J343">
        <v>61</v>
      </c>
      <c r="K343">
        <v>7.8102496759999998</v>
      </c>
      <c r="L343">
        <v>61</v>
      </c>
      <c r="M343">
        <v>73</v>
      </c>
      <c r="N343">
        <v>197</v>
      </c>
      <c r="O343">
        <v>65.666666669999998</v>
      </c>
      <c r="P343">
        <v>62</v>
      </c>
      <c r="Q343">
        <v>2</v>
      </c>
      <c r="R343">
        <v>8.1</v>
      </c>
      <c r="S343" t="s">
        <v>41</v>
      </c>
      <c r="T343" t="s">
        <v>42</v>
      </c>
      <c r="U343">
        <v>11</v>
      </c>
    </row>
    <row r="344" spans="1:21" x14ac:dyDescent="0.25">
      <c r="A344" t="s">
        <v>20</v>
      </c>
      <c r="B344" t="s">
        <v>21</v>
      </c>
      <c r="C344" t="s">
        <v>40</v>
      </c>
      <c r="D344" t="s">
        <v>23</v>
      </c>
      <c r="E344" t="s">
        <v>29</v>
      </c>
      <c r="F344">
        <v>69</v>
      </c>
      <c r="G344">
        <v>76</v>
      </c>
      <c r="H344">
        <v>74</v>
      </c>
      <c r="J344">
        <v>69</v>
      </c>
      <c r="K344">
        <v>8.3066238630000004</v>
      </c>
      <c r="L344">
        <v>69</v>
      </c>
      <c r="M344">
        <v>76</v>
      </c>
      <c r="N344">
        <v>219</v>
      </c>
      <c r="O344">
        <v>73</v>
      </c>
      <c r="P344">
        <v>71.5</v>
      </c>
      <c r="Q344">
        <v>2</v>
      </c>
      <c r="R344">
        <v>8.5399999999999991</v>
      </c>
      <c r="S344" t="s">
        <v>41</v>
      </c>
      <c r="T344" t="s">
        <v>42</v>
      </c>
      <c r="U344">
        <v>11</v>
      </c>
    </row>
    <row r="345" spans="1:21" x14ac:dyDescent="0.25">
      <c r="A345" t="s">
        <v>34</v>
      </c>
      <c r="B345" t="s">
        <v>39</v>
      </c>
      <c r="C345" t="s">
        <v>36</v>
      </c>
      <c r="D345" t="s">
        <v>23</v>
      </c>
      <c r="E345" t="s">
        <v>29</v>
      </c>
      <c r="F345">
        <v>67</v>
      </c>
      <c r="G345">
        <v>72</v>
      </c>
      <c r="H345">
        <v>67</v>
      </c>
      <c r="J345">
        <v>67</v>
      </c>
      <c r="K345">
        <v>8.1853527719999999</v>
      </c>
      <c r="L345">
        <v>67</v>
      </c>
      <c r="M345">
        <v>72</v>
      </c>
      <c r="N345">
        <v>206</v>
      </c>
      <c r="O345">
        <v>68.666666669999998</v>
      </c>
      <c r="P345">
        <v>67</v>
      </c>
      <c r="Q345">
        <v>2</v>
      </c>
      <c r="R345">
        <v>8.2899999999999991</v>
      </c>
      <c r="S345" t="s">
        <v>38</v>
      </c>
      <c r="T345" t="s">
        <v>26</v>
      </c>
      <c r="U345">
        <v>18</v>
      </c>
    </row>
    <row r="346" spans="1:21" x14ac:dyDescent="0.25">
      <c r="A346" t="s">
        <v>34</v>
      </c>
      <c r="B346" t="s">
        <v>39</v>
      </c>
      <c r="C346" t="s">
        <v>28</v>
      </c>
      <c r="D346" t="s">
        <v>23</v>
      </c>
      <c r="E346" t="s">
        <v>24</v>
      </c>
      <c r="F346">
        <v>79</v>
      </c>
      <c r="G346">
        <v>73</v>
      </c>
      <c r="H346">
        <v>67</v>
      </c>
      <c r="J346">
        <v>79</v>
      </c>
      <c r="K346">
        <v>8.8881944169999993</v>
      </c>
      <c r="L346">
        <v>67</v>
      </c>
      <c r="M346">
        <v>79</v>
      </c>
      <c r="N346">
        <v>219</v>
      </c>
      <c r="O346">
        <v>73</v>
      </c>
      <c r="P346">
        <v>76</v>
      </c>
      <c r="Q346">
        <v>4</v>
      </c>
      <c r="R346">
        <v>8.5399999999999991</v>
      </c>
      <c r="S346" t="s">
        <v>30</v>
      </c>
      <c r="T346" t="s">
        <v>31</v>
      </c>
      <c r="U346">
        <v>12</v>
      </c>
    </row>
    <row r="347" spans="1:21" x14ac:dyDescent="0.25">
      <c r="A347" t="s">
        <v>20</v>
      </c>
      <c r="B347" t="s">
        <v>27</v>
      </c>
      <c r="C347" t="s">
        <v>40</v>
      </c>
      <c r="D347" t="s">
        <v>23</v>
      </c>
      <c r="E347" t="s">
        <v>24</v>
      </c>
      <c r="F347">
        <v>72</v>
      </c>
      <c r="G347">
        <v>80</v>
      </c>
      <c r="H347">
        <v>75</v>
      </c>
      <c r="J347">
        <v>72</v>
      </c>
      <c r="K347">
        <v>8.4852813739999995</v>
      </c>
      <c r="L347">
        <v>72</v>
      </c>
      <c r="M347">
        <v>80</v>
      </c>
      <c r="N347">
        <v>227</v>
      </c>
      <c r="O347">
        <v>75.666666669999998</v>
      </c>
      <c r="P347">
        <v>73.5</v>
      </c>
      <c r="Q347">
        <v>2</v>
      </c>
      <c r="R347">
        <v>8.6999999999999993</v>
      </c>
      <c r="S347" t="s">
        <v>41</v>
      </c>
      <c r="T347" t="s">
        <v>42</v>
      </c>
      <c r="U347">
        <v>11</v>
      </c>
    </row>
    <row r="348" spans="1:21" x14ac:dyDescent="0.25">
      <c r="A348" t="s">
        <v>34</v>
      </c>
      <c r="B348" t="s">
        <v>21</v>
      </c>
      <c r="C348" t="s">
        <v>28</v>
      </c>
      <c r="D348" t="s">
        <v>23</v>
      </c>
      <c r="E348" t="s">
        <v>24</v>
      </c>
      <c r="F348">
        <v>62</v>
      </c>
      <c r="G348">
        <v>61</v>
      </c>
      <c r="H348">
        <v>57</v>
      </c>
      <c r="J348">
        <v>62</v>
      </c>
      <c r="K348">
        <v>7.8740078740000001</v>
      </c>
      <c r="L348">
        <v>57</v>
      </c>
      <c r="M348">
        <v>62</v>
      </c>
      <c r="N348">
        <v>180</v>
      </c>
      <c r="O348">
        <v>60</v>
      </c>
      <c r="P348">
        <v>61.5</v>
      </c>
      <c r="Q348">
        <v>4</v>
      </c>
      <c r="R348">
        <v>7.75</v>
      </c>
      <c r="S348" t="s">
        <v>30</v>
      </c>
      <c r="T348" t="s">
        <v>31</v>
      </c>
      <c r="U348">
        <v>12</v>
      </c>
    </row>
    <row r="349" spans="1:21" x14ac:dyDescent="0.25">
      <c r="A349" t="s">
        <v>20</v>
      </c>
      <c r="B349" t="s">
        <v>27</v>
      </c>
      <c r="C349" t="s">
        <v>22</v>
      </c>
      <c r="D349" t="s">
        <v>23</v>
      </c>
      <c r="E349" t="s">
        <v>29</v>
      </c>
      <c r="F349">
        <v>77</v>
      </c>
      <c r="G349">
        <v>94</v>
      </c>
      <c r="H349">
        <v>95</v>
      </c>
      <c r="J349">
        <v>77</v>
      </c>
      <c r="K349">
        <v>8.7749643870000007</v>
      </c>
      <c r="L349">
        <v>77</v>
      </c>
      <c r="M349">
        <v>95</v>
      </c>
      <c r="N349">
        <v>266</v>
      </c>
      <c r="O349">
        <v>88.666666669999998</v>
      </c>
      <c r="P349">
        <v>85.5</v>
      </c>
      <c r="Q349">
        <v>1</v>
      </c>
      <c r="R349">
        <v>9.42</v>
      </c>
      <c r="S349" t="s">
        <v>25</v>
      </c>
      <c r="T349" t="s">
        <v>26</v>
      </c>
      <c r="U349">
        <v>17</v>
      </c>
    </row>
    <row r="350" spans="1:21" x14ac:dyDescent="0.25">
      <c r="A350" t="s">
        <v>34</v>
      </c>
      <c r="B350" t="s">
        <v>39</v>
      </c>
      <c r="C350" t="s">
        <v>40</v>
      </c>
      <c r="D350" t="s">
        <v>37</v>
      </c>
      <c r="E350" t="s">
        <v>24</v>
      </c>
      <c r="F350">
        <v>75</v>
      </c>
      <c r="G350">
        <v>74</v>
      </c>
      <c r="H350">
        <v>66</v>
      </c>
      <c r="J350">
        <v>75</v>
      </c>
      <c r="K350">
        <v>8.6602540379999997</v>
      </c>
      <c r="L350">
        <v>66</v>
      </c>
      <c r="M350">
        <v>75</v>
      </c>
      <c r="N350">
        <v>215</v>
      </c>
      <c r="O350">
        <v>71.666666669999998</v>
      </c>
      <c r="P350">
        <v>74.5</v>
      </c>
      <c r="Q350">
        <v>4</v>
      </c>
      <c r="R350">
        <v>8.4700000000000006</v>
      </c>
      <c r="S350" t="s">
        <v>41</v>
      </c>
      <c r="T350" t="s">
        <v>42</v>
      </c>
      <c r="U350">
        <v>11</v>
      </c>
    </row>
    <row r="351" spans="1:21" x14ac:dyDescent="0.25">
      <c r="A351" t="s">
        <v>34</v>
      </c>
      <c r="B351" t="s">
        <v>64</v>
      </c>
      <c r="C351" t="s">
        <v>36</v>
      </c>
      <c r="D351" t="s">
        <v>23</v>
      </c>
      <c r="E351" t="s">
        <v>24</v>
      </c>
      <c r="F351">
        <v>87</v>
      </c>
      <c r="G351">
        <v>74</v>
      </c>
      <c r="H351">
        <v>76</v>
      </c>
      <c r="J351">
        <v>87</v>
      </c>
      <c r="K351">
        <v>9.3273790529999996</v>
      </c>
      <c r="L351">
        <v>74</v>
      </c>
      <c r="M351">
        <v>87</v>
      </c>
      <c r="N351">
        <v>237</v>
      </c>
      <c r="O351">
        <v>79</v>
      </c>
      <c r="P351">
        <v>81.5</v>
      </c>
      <c r="Q351">
        <v>3</v>
      </c>
      <c r="R351">
        <v>8.89</v>
      </c>
      <c r="S351" t="s">
        <v>38</v>
      </c>
      <c r="T351" t="s">
        <v>26</v>
      </c>
      <c r="U351">
        <v>18</v>
      </c>
    </row>
    <row r="352" spans="1:21" x14ac:dyDescent="0.25">
      <c r="A352" t="s">
        <v>20</v>
      </c>
      <c r="B352" t="s">
        <v>21</v>
      </c>
      <c r="C352" t="s">
        <v>22</v>
      </c>
      <c r="D352" t="s">
        <v>23</v>
      </c>
      <c r="E352" t="s">
        <v>24</v>
      </c>
      <c r="F352">
        <v>52</v>
      </c>
      <c r="G352">
        <v>65</v>
      </c>
      <c r="H352">
        <v>69</v>
      </c>
      <c r="J352">
        <v>52</v>
      </c>
      <c r="K352">
        <v>7.2111025509999997</v>
      </c>
      <c r="L352">
        <v>52</v>
      </c>
      <c r="M352">
        <v>69</v>
      </c>
      <c r="N352">
        <v>186</v>
      </c>
      <c r="O352">
        <v>62</v>
      </c>
      <c r="P352">
        <v>58.5</v>
      </c>
      <c r="Q352">
        <v>1</v>
      </c>
      <c r="R352">
        <v>7.87</v>
      </c>
      <c r="S352" t="s">
        <v>25</v>
      </c>
      <c r="T352" t="s">
        <v>26</v>
      </c>
      <c r="U352">
        <v>17</v>
      </c>
    </row>
    <row r="353" spans="1:21" x14ac:dyDescent="0.25">
      <c r="A353" t="s">
        <v>34</v>
      </c>
      <c r="B353" t="s">
        <v>64</v>
      </c>
      <c r="C353" t="s">
        <v>28</v>
      </c>
      <c r="D353" t="s">
        <v>23</v>
      </c>
      <c r="E353" t="s">
        <v>24</v>
      </c>
      <c r="F353">
        <v>66</v>
      </c>
      <c r="G353">
        <v>57</v>
      </c>
      <c r="H353">
        <v>52</v>
      </c>
      <c r="J353">
        <v>66</v>
      </c>
      <c r="K353">
        <v>8.1240384050000003</v>
      </c>
      <c r="L353">
        <v>52</v>
      </c>
      <c r="M353">
        <v>66</v>
      </c>
      <c r="N353">
        <v>175</v>
      </c>
      <c r="O353">
        <v>58.333333330000002</v>
      </c>
      <c r="P353">
        <v>61.5</v>
      </c>
      <c r="Q353">
        <v>4</v>
      </c>
      <c r="R353">
        <v>7.64</v>
      </c>
      <c r="S353" t="s">
        <v>30</v>
      </c>
      <c r="T353" t="s">
        <v>31</v>
      </c>
      <c r="U353">
        <v>12</v>
      </c>
    </row>
    <row r="354" spans="1:21" x14ac:dyDescent="0.25">
      <c r="A354" t="s">
        <v>20</v>
      </c>
      <c r="B354" t="s">
        <v>27</v>
      </c>
      <c r="C354" t="s">
        <v>28</v>
      </c>
      <c r="D354" t="s">
        <v>23</v>
      </c>
      <c r="E354" t="s">
        <v>29</v>
      </c>
      <c r="F354">
        <v>63</v>
      </c>
      <c r="G354">
        <v>78</v>
      </c>
      <c r="H354">
        <v>80</v>
      </c>
      <c r="J354">
        <v>63</v>
      </c>
      <c r="K354">
        <v>7.937253933</v>
      </c>
      <c r="L354">
        <v>63</v>
      </c>
      <c r="M354">
        <v>80</v>
      </c>
      <c r="N354">
        <v>221</v>
      </c>
      <c r="O354">
        <v>73.666666669999998</v>
      </c>
      <c r="P354">
        <v>70.5</v>
      </c>
      <c r="Q354">
        <v>1</v>
      </c>
      <c r="R354">
        <v>8.58</v>
      </c>
      <c r="S354" t="s">
        <v>30</v>
      </c>
      <c r="T354" t="s">
        <v>31</v>
      </c>
      <c r="U354">
        <v>12</v>
      </c>
    </row>
    <row r="355" spans="1:21" x14ac:dyDescent="0.25">
      <c r="A355" t="s">
        <v>20</v>
      </c>
      <c r="B355" t="s">
        <v>27</v>
      </c>
      <c r="C355" t="s">
        <v>36</v>
      </c>
      <c r="D355" t="s">
        <v>23</v>
      </c>
      <c r="E355" t="s">
        <v>24</v>
      </c>
      <c r="F355">
        <v>46</v>
      </c>
      <c r="G355">
        <v>58</v>
      </c>
      <c r="H355">
        <v>57</v>
      </c>
      <c r="J355">
        <v>46</v>
      </c>
      <c r="K355">
        <v>6.7823299830000003</v>
      </c>
      <c r="L355">
        <v>46</v>
      </c>
      <c r="M355">
        <v>58</v>
      </c>
      <c r="N355">
        <v>161</v>
      </c>
      <c r="O355">
        <v>53.666666669999998</v>
      </c>
      <c r="P355">
        <v>51.5</v>
      </c>
      <c r="Q355">
        <v>2</v>
      </c>
      <c r="R355">
        <v>7.33</v>
      </c>
      <c r="S355" t="s">
        <v>38</v>
      </c>
      <c r="T355" t="s">
        <v>26</v>
      </c>
      <c r="U355">
        <v>18</v>
      </c>
    </row>
    <row r="356" spans="1:21" x14ac:dyDescent="0.25">
      <c r="A356" t="s">
        <v>20</v>
      </c>
      <c r="B356" t="s">
        <v>27</v>
      </c>
      <c r="C356" t="s">
        <v>28</v>
      </c>
      <c r="D356" t="s">
        <v>23</v>
      </c>
      <c r="E356" t="s">
        <v>24</v>
      </c>
      <c r="F356">
        <v>59</v>
      </c>
      <c r="G356">
        <v>71</v>
      </c>
      <c r="H356">
        <v>70</v>
      </c>
      <c r="J356">
        <v>59</v>
      </c>
      <c r="K356">
        <v>7.6811457479999996</v>
      </c>
      <c r="L356">
        <v>59</v>
      </c>
      <c r="M356">
        <v>71</v>
      </c>
      <c r="N356">
        <v>200</v>
      </c>
      <c r="O356">
        <v>66.666666669999998</v>
      </c>
      <c r="P356">
        <v>64.5</v>
      </c>
      <c r="Q356">
        <v>2</v>
      </c>
      <c r="R356">
        <v>8.16</v>
      </c>
      <c r="S356" t="s">
        <v>30</v>
      </c>
      <c r="T356" t="s">
        <v>31</v>
      </c>
      <c r="U356">
        <v>12</v>
      </c>
    </row>
    <row r="357" spans="1:21" x14ac:dyDescent="0.25">
      <c r="A357" t="s">
        <v>20</v>
      </c>
      <c r="B357" t="s">
        <v>21</v>
      </c>
      <c r="C357" t="s">
        <v>22</v>
      </c>
      <c r="D357" t="s">
        <v>23</v>
      </c>
      <c r="E357" t="s">
        <v>24</v>
      </c>
      <c r="F357">
        <v>61</v>
      </c>
      <c r="G357">
        <v>72</v>
      </c>
      <c r="H357">
        <v>70</v>
      </c>
      <c r="J357">
        <v>61</v>
      </c>
      <c r="K357">
        <v>7.8102496759999998</v>
      </c>
      <c r="L357">
        <v>61</v>
      </c>
      <c r="M357">
        <v>72</v>
      </c>
      <c r="N357">
        <v>203</v>
      </c>
      <c r="O357">
        <v>67.666666669999998</v>
      </c>
      <c r="P357">
        <v>65.5</v>
      </c>
      <c r="Q357">
        <v>2</v>
      </c>
      <c r="R357">
        <v>8.23</v>
      </c>
      <c r="S357" t="s">
        <v>25</v>
      </c>
      <c r="T357" t="s">
        <v>26</v>
      </c>
      <c r="U357">
        <v>17</v>
      </c>
    </row>
    <row r="358" spans="1:21" x14ac:dyDescent="0.25">
      <c r="A358" t="s">
        <v>34</v>
      </c>
      <c r="B358" t="s">
        <v>35</v>
      </c>
      <c r="C358" t="s">
        <v>36</v>
      </c>
      <c r="D358" t="s">
        <v>23</v>
      </c>
      <c r="E358" t="s">
        <v>24</v>
      </c>
      <c r="F358">
        <v>63</v>
      </c>
      <c r="G358">
        <v>61</v>
      </c>
      <c r="H358">
        <v>61</v>
      </c>
      <c r="J358">
        <v>63</v>
      </c>
      <c r="K358">
        <v>7.937253933</v>
      </c>
      <c r="L358">
        <v>61</v>
      </c>
      <c r="M358">
        <v>63</v>
      </c>
      <c r="N358">
        <v>185</v>
      </c>
      <c r="O358">
        <v>61.666666669999998</v>
      </c>
      <c r="P358">
        <v>62</v>
      </c>
      <c r="Q358">
        <v>3</v>
      </c>
      <c r="R358">
        <v>7.85</v>
      </c>
      <c r="S358" t="s">
        <v>38</v>
      </c>
      <c r="T358" t="s">
        <v>26</v>
      </c>
      <c r="U358">
        <v>18</v>
      </c>
    </row>
    <row r="359" spans="1:21" x14ac:dyDescent="0.25">
      <c r="A359" t="s">
        <v>20</v>
      </c>
      <c r="B359" t="s">
        <v>27</v>
      </c>
      <c r="C359" t="s">
        <v>28</v>
      </c>
      <c r="D359" t="s">
        <v>37</v>
      </c>
      <c r="E359" t="s">
        <v>29</v>
      </c>
      <c r="F359">
        <v>42</v>
      </c>
      <c r="G359">
        <v>66</v>
      </c>
      <c r="H359">
        <v>69</v>
      </c>
      <c r="J359">
        <v>42</v>
      </c>
      <c r="K359">
        <v>6.480740698</v>
      </c>
      <c r="L359">
        <v>42</v>
      </c>
      <c r="M359">
        <v>69</v>
      </c>
      <c r="N359">
        <v>177</v>
      </c>
      <c r="O359">
        <v>59</v>
      </c>
      <c r="P359">
        <v>54</v>
      </c>
      <c r="Q359">
        <v>1</v>
      </c>
      <c r="R359">
        <v>7.68</v>
      </c>
      <c r="S359" t="s">
        <v>30</v>
      </c>
      <c r="T359" t="s">
        <v>31</v>
      </c>
      <c r="U359">
        <v>12</v>
      </c>
    </row>
    <row r="360" spans="1:21" x14ac:dyDescent="0.25">
      <c r="A360" t="s">
        <v>34</v>
      </c>
      <c r="B360" t="s">
        <v>39</v>
      </c>
      <c r="C360" t="s">
        <v>28</v>
      </c>
      <c r="D360" t="s">
        <v>37</v>
      </c>
      <c r="E360" t="s">
        <v>24</v>
      </c>
      <c r="F360">
        <v>59</v>
      </c>
      <c r="G360">
        <v>62</v>
      </c>
      <c r="H360">
        <v>61</v>
      </c>
      <c r="J360">
        <v>59</v>
      </c>
      <c r="K360">
        <v>7.6811457479999996</v>
      </c>
      <c r="L360">
        <v>59</v>
      </c>
      <c r="M360">
        <v>62</v>
      </c>
      <c r="N360">
        <v>182</v>
      </c>
      <c r="O360">
        <v>60.666666669999998</v>
      </c>
      <c r="P360">
        <v>60</v>
      </c>
      <c r="Q360">
        <v>2</v>
      </c>
      <c r="R360">
        <v>7.79</v>
      </c>
      <c r="S360" t="s">
        <v>30</v>
      </c>
      <c r="T360" t="s">
        <v>31</v>
      </c>
      <c r="U360">
        <v>12</v>
      </c>
    </row>
    <row r="361" spans="1:21" x14ac:dyDescent="0.25">
      <c r="A361" t="s">
        <v>20</v>
      </c>
      <c r="B361" t="s">
        <v>39</v>
      </c>
      <c r="C361" t="s">
        <v>28</v>
      </c>
      <c r="D361" t="s">
        <v>23</v>
      </c>
      <c r="E361" t="s">
        <v>24</v>
      </c>
      <c r="F361">
        <v>80</v>
      </c>
      <c r="G361">
        <v>90</v>
      </c>
      <c r="H361">
        <v>89</v>
      </c>
      <c r="J361">
        <v>80</v>
      </c>
      <c r="K361">
        <v>8.9442719099999994</v>
      </c>
      <c r="L361">
        <v>80</v>
      </c>
      <c r="M361">
        <v>90</v>
      </c>
      <c r="N361">
        <v>259</v>
      </c>
      <c r="O361">
        <v>86.333333330000002</v>
      </c>
      <c r="P361">
        <v>84.5</v>
      </c>
      <c r="Q361">
        <v>2</v>
      </c>
      <c r="R361">
        <v>9.2899999999999991</v>
      </c>
      <c r="S361" t="s">
        <v>30</v>
      </c>
      <c r="T361" t="s">
        <v>31</v>
      </c>
      <c r="U361">
        <v>12</v>
      </c>
    </row>
    <row r="362" spans="1:21" x14ac:dyDescent="0.25">
      <c r="A362" t="s">
        <v>20</v>
      </c>
      <c r="B362" t="s">
        <v>21</v>
      </c>
      <c r="C362" t="s">
        <v>40</v>
      </c>
      <c r="D362" t="s">
        <v>23</v>
      </c>
      <c r="E362" t="s">
        <v>24</v>
      </c>
      <c r="F362">
        <v>58</v>
      </c>
      <c r="G362">
        <v>62</v>
      </c>
      <c r="H362">
        <v>59</v>
      </c>
      <c r="J362">
        <v>58</v>
      </c>
      <c r="K362">
        <v>7.6157731059999998</v>
      </c>
      <c r="L362">
        <v>58</v>
      </c>
      <c r="M362">
        <v>62</v>
      </c>
      <c r="N362">
        <v>179</v>
      </c>
      <c r="O362">
        <v>59.666666669999998</v>
      </c>
      <c r="P362">
        <v>58.5</v>
      </c>
      <c r="Q362">
        <v>2</v>
      </c>
      <c r="R362">
        <v>7.72</v>
      </c>
      <c r="S362" t="s">
        <v>41</v>
      </c>
      <c r="T362" t="s">
        <v>42</v>
      </c>
      <c r="U362">
        <v>11</v>
      </c>
    </row>
    <row r="363" spans="1:21" x14ac:dyDescent="0.25">
      <c r="A363" t="s">
        <v>34</v>
      </c>
      <c r="B363" t="s">
        <v>21</v>
      </c>
      <c r="C363" t="s">
        <v>50</v>
      </c>
      <c r="D363" t="s">
        <v>23</v>
      </c>
      <c r="E363" t="s">
        <v>29</v>
      </c>
      <c r="F363">
        <v>85</v>
      </c>
      <c r="G363">
        <v>84</v>
      </c>
      <c r="H363">
        <v>78</v>
      </c>
      <c r="J363">
        <v>85</v>
      </c>
      <c r="K363">
        <v>9.2195444569999996</v>
      </c>
      <c r="L363">
        <v>78</v>
      </c>
      <c r="M363">
        <v>85</v>
      </c>
      <c r="N363">
        <v>247</v>
      </c>
      <c r="O363">
        <v>82.333333330000002</v>
      </c>
      <c r="P363">
        <v>84.5</v>
      </c>
      <c r="Q363">
        <v>4</v>
      </c>
      <c r="R363">
        <v>9.07</v>
      </c>
      <c r="S363" t="s">
        <v>30</v>
      </c>
      <c r="T363" t="s">
        <v>42</v>
      </c>
      <c r="U363">
        <v>16</v>
      </c>
    </row>
    <row r="364" spans="1:21" x14ac:dyDescent="0.25">
      <c r="A364" t="s">
        <v>20</v>
      </c>
      <c r="B364" t="s">
        <v>27</v>
      </c>
      <c r="C364" t="s">
        <v>28</v>
      </c>
      <c r="D364" t="s">
        <v>23</v>
      </c>
      <c r="E364" t="s">
        <v>24</v>
      </c>
      <c r="F364">
        <v>52</v>
      </c>
      <c r="G364">
        <v>58</v>
      </c>
      <c r="H364">
        <v>58</v>
      </c>
      <c r="J364">
        <v>52</v>
      </c>
      <c r="K364">
        <v>7.2111025509999997</v>
      </c>
      <c r="L364">
        <v>52</v>
      </c>
      <c r="M364">
        <v>58</v>
      </c>
      <c r="N364">
        <v>168</v>
      </c>
      <c r="O364">
        <v>56</v>
      </c>
      <c r="P364">
        <v>55</v>
      </c>
      <c r="Q364">
        <v>1</v>
      </c>
      <c r="R364">
        <v>7.48</v>
      </c>
      <c r="S364" t="s">
        <v>30</v>
      </c>
      <c r="T364" t="s">
        <v>31</v>
      </c>
      <c r="U364">
        <v>12</v>
      </c>
    </row>
    <row r="365" spans="1:21" x14ac:dyDescent="0.25">
      <c r="A365" t="s">
        <v>20</v>
      </c>
      <c r="B365" t="s">
        <v>39</v>
      </c>
      <c r="C365" t="s">
        <v>50</v>
      </c>
      <c r="D365" t="s">
        <v>37</v>
      </c>
      <c r="E365" t="s">
        <v>24</v>
      </c>
      <c r="F365">
        <v>27</v>
      </c>
      <c r="G365">
        <v>34</v>
      </c>
      <c r="H365">
        <v>32</v>
      </c>
      <c r="J365">
        <v>27</v>
      </c>
      <c r="K365">
        <v>5.196152423</v>
      </c>
      <c r="L365">
        <v>27</v>
      </c>
      <c r="M365">
        <v>34</v>
      </c>
      <c r="N365">
        <v>93</v>
      </c>
      <c r="O365">
        <v>31</v>
      </c>
      <c r="P365">
        <v>29.5</v>
      </c>
      <c r="Q365">
        <v>2</v>
      </c>
      <c r="R365">
        <v>5.57</v>
      </c>
      <c r="S365" t="s">
        <v>30</v>
      </c>
      <c r="T365" t="s">
        <v>42</v>
      </c>
      <c r="U365">
        <v>16</v>
      </c>
    </row>
    <row r="366" spans="1:21" x14ac:dyDescent="0.25">
      <c r="A366" t="s">
        <v>34</v>
      </c>
      <c r="B366" t="s">
        <v>27</v>
      </c>
      <c r="C366" t="s">
        <v>28</v>
      </c>
      <c r="D366" t="s">
        <v>23</v>
      </c>
      <c r="E366" t="s">
        <v>24</v>
      </c>
      <c r="F366">
        <v>59</v>
      </c>
      <c r="G366">
        <v>60</v>
      </c>
      <c r="H366">
        <v>58</v>
      </c>
      <c r="J366">
        <v>59</v>
      </c>
      <c r="K366">
        <v>7.6811457479999996</v>
      </c>
      <c r="L366">
        <v>58</v>
      </c>
      <c r="M366">
        <v>60</v>
      </c>
      <c r="N366">
        <v>177</v>
      </c>
      <c r="O366">
        <v>59</v>
      </c>
      <c r="P366">
        <v>59</v>
      </c>
      <c r="Q366">
        <v>4</v>
      </c>
      <c r="R366">
        <v>7.68</v>
      </c>
      <c r="S366" t="s">
        <v>30</v>
      </c>
      <c r="T366" t="s">
        <v>31</v>
      </c>
      <c r="U366">
        <v>12</v>
      </c>
    </row>
    <row r="367" spans="1:21" x14ac:dyDescent="0.25">
      <c r="A367" t="s">
        <v>34</v>
      </c>
      <c r="B367" t="s">
        <v>35</v>
      </c>
      <c r="C367" t="s">
        <v>22</v>
      </c>
      <c r="D367" t="s">
        <v>37</v>
      </c>
      <c r="E367" t="s">
        <v>29</v>
      </c>
      <c r="F367">
        <v>49</v>
      </c>
      <c r="G367">
        <v>58</v>
      </c>
      <c r="H367">
        <v>60</v>
      </c>
      <c r="J367">
        <v>49</v>
      </c>
      <c r="K367">
        <v>7</v>
      </c>
      <c r="L367">
        <v>49</v>
      </c>
      <c r="M367">
        <v>60</v>
      </c>
      <c r="N367">
        <v>167</v>
      </c>
      <c r="O367">
        <v>55.666666669999998</v>
      </c>
      <c r="P367">
        <v>53.5</v>
      </c>
      <c r="Q367">
        <v>1</v>
      </c>
      <c r="R367">
        <v>7.46</v>
      </c>
      <c r="S367" t="s">
        <v>25</v>
      </c>
      <c r="T367" t="s">
        <v>26</v>
      </c>
      <c r="U367">
        <v>17</v>
      </c>
    </row>
    <row r="368" spans="1:21" x14ac:dyDescent="0.25">
      <c r="A368" t="s">
        <v>34</v>
      </c>
      <c r="B368" t="s">
        <v>27</v>
      </c>
      <c r="C368" t="s">
        <v>40</v>
      </c>
      <c r="D368" t="s">
        <v>23</v>
      </c>
      <c r="E368" t="s">
        <v>29</v>
      </c>
      <c r="F368">
        <v>69</v>
      </c>
      <c r="G368">
        <v>58</v>
      </c>
      <c r="H368">
        <v>53</v>
      </c>
      <c r="J368">
        <v>69</v>
      </c>
      <c r="K368">
        <v>8.3066238630000004</v>
      </c>
      <c r="L368">
        <v>53</v>
      </c>
      <c r="M368">
        <v>69</v>
      </c>
      <c r="N368">
        <v>180</v>
      </c>
      <c r="O368">
        <v>60</v>
      </c>
      <c r="P368">
        <v>63.5</v>
      </c>
      <c r="Q368">
        <v>4</v>
      </c>
      <c r="R368">
        <v>7.75</v>
      </c>
      <c r="S368" t="s">
        <v>41</v>
      </c>
      <c r="T368" t="s">
        <v>42</v>
      </c>
      <c r="U368">
        <v>11</v>
      </c>
    </row>
    <row r="369" spans="1:21" x14ac:dyDescent="0.25">
      <c r="A369" t="s">
        <v>34</v>
      </c>
      <c r="B369" t="s">
        <v>27</v>
      </c>
      <c r="C369" t="s">
        <v>22</v>
      </c>
      <c r="D369" t="s">
        <v>37</v>
      </c>
      <c r="E369" t="s">
        <v>24</v>
      </c>
      <c r="F369">
        <v>61</v>
      </c>
      <c r="G369">
        <v>66</v>
      </c>
      <c r="H369">
        <v>61</v>
      </c>
      <c r="J369">
        <v>61</v>
      </c>
      <c r="K369">
        <v>7.8102496759999998</v>
      </c>
      <c r="L369">
        <v>61</v>
      </c>
      <c r="M369">
        <v>66</v>
      </c>
      <c r="N369">
        <v>188</v>
      </c>
      <c r="O369">
        <v>62.666666669999998</v>
      </c>
      <c r="P369">
        <v>61</v>
      </c>
      <c r="Q369">
        <v>2</v>
      </c>
      <c r="R369">
        <v>7.92</v>
      </c>
      <c r="S369" t="s">
        <v>25</v>
      </c>
      <c r="T369" t="s">
        <v>26</v>
      </c>
      <c r="U369">
        <v>17</v>
      </c>
    </row>
    <row r="370" spans="1:21" x14ac:dyDescent="0.25">
      <c r="A370" t="s">
        <v>20</v>
      </c>
      <c r="B370" t="s">
        <v>35</v>
      </c>
      <c r="C370" t="s">
        <v>50</v>
      </c>
      <c r="D370" t="s">
        <v>37</v>
      </c>
      <c r="E370" t="s">
        <v>24</v>
      </c>
      <c r="F370">
        <v>44</v>
      </c>
      <c r="G370">
        <v>64</v>
      </c>
      <c r="H370">
        <v>58</v>
      </c>
      <c r="J370">
        <v>44</v>
      </c>
      <c r="K370">
        <v>6.6332495810000003</v>
      </c>
      <c r="L370">
        <v>44</v>
      </c>
      <c r="M370">
        <v>64</v>
      </c>
      <c r="N370">
        <v>166</v>
      </c>
      <c r="O370">
        <v>55.333333330000002</v>
      </c>
      <c r="P370">
        <v>51</v>
      </c>
      <c r="Q370">
        <v>2</v>
      </c>
      <c r="R370">
        <v>7.44</v>
      </c>
      <c r="S370" t="s">
        <v>30</v>
      </c>
      <c r="T370" t="s">
        <v>42</v>
      </c>
      <c r="U370">
        <v>16</v>
      </c>
    </row>
    <row r="371" spans="1:21" x14ac:dyDescent="0.25">
      <c r="A371" t="s">
        <v>20</v>
      </c>
      <c r="B371" t="s">
        <v>39</v>
      </c>
      <c r="C371" t="s">
        <v>50</v>
      </c>
      <c r="D371" t="s">
        <v>23</v>
      </c>
      <c r="E371" t="s">
        <v>24</v>
      </c>
      <c r="F371">
        <v>73</v>
      </c>
      <c r="G371">
        <v>84</v>
      </c>
      <c r="H371">
        <v>85</v>
      </c>
      <c r="J371">
        <v>73</v>
      </c>
      <c r="K371">
        <v>8.5440037449999995</v>
      </c>
      <c r="L371">
        <v>73</v>
      </c>
      <c r="M371">
        <v>85</v>
      </c>
      <c r="N371">
        <v>242</v>
      </c>
      <c r="O371">
        <v>80.666666669999998</v>
      </c>
      <c r="P371">
        <v>78.5</v>
      </c>
      <c r="Q371">
        <v>1</v>
      </c>
      <c r="R371">
        <v>8.98</v>
      </c>
      <c r="S371" t="s">
        <v>30</v>
      </c>
      <c r="T371" t="s">
        <v>42</v>
      </c>
      <c r="U371">
        <v>16</v>
      </c>
    </row>
    <row r="372" spans="1:21" x14ac:dyDescent="0.25">
      <c r="A372" t="s">
        <v>34</v>
      </c>
      <c r="B372" t="s">
        <v>64</v>
      </c>
      <c r="C372" t="s">
        <v>28</v>
      </c>
      <c r="D372" t="s">
        <v>23</v>
      </c>
      <c r="E372" t="s">
        <v>24</v>
      </c>
      <c r="F372">
        <v>84</v>
      </c>
      <c r="G372">
        <v>77</v>
      </c>
      <c r="H372">
        <v>71</v>
      </c>
      <c r="J372">
        <v>84</v>
      </c>
      <c r="K372">
        <v>9.1651513900000001</v>
      </c>
      <c r="L372">
        <v>71</v>
      </c>
      <c r="M372">
        <v>84</v>
      </c>
      <c r="N372">
        <v>232</v>
      </c>
      <c r="O372">
        <v>77.333333330000002</v>
      </c>
      <c r="P372">
        <v>80.5</v>
      </c>
      <c r="Q372">
        <v>4</v>
      </c>
      <c r="R372">
        <v>8.7899999999999991</v>
      </c>
      <c r="S372" t="s">
        <v>30</v>
      </c>
      <c r="T372" t="s">
        <v>31</v>
      </c>
      <c r="U372">
        <v>12</v>
      </c>
    </row>
    <row r="373" spans="1:21" x14ac:dyDescent="0.25">
      <c r="A373" t="s">
        <v>20</v>
      </c>
      <c r="B373" t="s">
        <v>27</v>
      </c>
      <c r="C373" t="s">
        <v>28</v>
      </c>
      <c r="D373" t="s">
        <v>37</v>
      </c>
      <c r="E373" t="s">
        <v>29</v>
      </c>
      <c r="F373">
        <v>45</v>
      </c>
      <c r="G373">
        <v>73</v>
      </c>
      <c r="H373">
        <v>70</v>
      </c>
      <c r="J373">
        <v>45</v>
      </c>
      <c r="K373">
        <v>6.708203932</v>
      </c>
      <c r="L373">
        <v>45</v>
      </c>
      <c r="M373">
        <v>73</v>
      </c>
      <c r="N373">
        <v>188</v>
      </c>
      <c r="O373">
        <v>62.666666669999998</v>
      </c>
      <c r="P373">
        <v>57.5</v>
      </c>
      <c r="Q373">
        <v>2</v>
      </c>
      <c r="R373">
        <v>7.92</v>
      </c>
      <c r="S373" t="s">
        <v>30</v>
      </c>
      <c r="T373" t="s">
        <v>31</v>
      </c>
      <c r="U373">
        <v>12</v>
      </c>
    </row>
    <row r="374" spans="1:21" x14ac:dyDescent="0.25">
      <c r="A374" t="s">
        <v>34</v>
      </c>
      <c r="B374" t="s">
        <v>39</v>
      </c>
      <c r="C374" t="s">
        <v>50</v>
      </c>
      <c r="D374" t="s">
        <v>23</v>
      </c>
      <c r="E374" t="s">
        <v>24</v>
      </c>
      <c r="F374">
        <v>74</v>
      </c>
      <c r="G374">
        <v>74</v>
      </c>
      <c r="H374">
        <v>72</v>
      </c>
      <c r="J374">
        <v>74</v>
      </c>
      <c r="K374">
        <v>8.6023252669999994</v>
      </c>
      <c r="L374">
        <v>72</v>
      </c>
      <c r="M374">
        <v>74</v>
      </c>
      <c r="N374">
        <v>220</v>
      </c>
      <c r="O374">
        <v>73.333333330000002</v>
      </c>
      <c r="P374">
        <v>74</v>
      </c>
      <c r="Q374">
        <v>4</v>
      </c>
      <c r="R374">
        <v>8.56</v>
      </c>
      <c r="S374" t="s">
        <v>30</v>
      </c>
      <c r="T374" t="s">
        <v>42</v>
      </c>
      <c r="U374">
        <v>16</v>
      </c>
    </row>
    <row r="375" spans="1:21" x14ac:dyDescent="0.25">
      <c r="A375" t="s">
        <v>20</v>
      </c>
      <c r="B375" t="s">
        <v>39</v>
      </c>
      <c r="C375" t="s">
        <v>28</v>
      </c>
      <c r="D375" t="s">
        <v>23</v>
      </c>
      <c r="E375" t="s">
        <v>29</v>
      </c>
      <c r="F375">
        <v>82</v>
      </c>
      <c r="G375">
        <v>97</v>
      </c>
      <c r="H375">
        <v>96</v>
      </c>
      <c r="J375">
        <v>82</v>
      </c>
      <c r="K375">
        <v>9.0553851380000001</v>
      </c>
      <c r="L375">
        <v>82</v>
      </c>
      <c r="M375">
        <v>97</v>
      </c>
      <c r="N375">
        <v>275</v>
      </c>
      <c r="O375">
        <v>91.666666669999998</v>
      </c>
      <c r="P375">
        <v>89</v>
      </c>
      <c r="Q375">
        <v>2</v>
      </c>
      <c r="R375">
        <v>9.57</v>
      </c>
      <c r="S375" t="s">
        <v>30</v>
      </c>
      <c r="T375" t="s">
        <v>31</v>
      </c>
      <c r="U375">
        <v>12</v>
      </c>
    </row>
    <row r="376" spans="1:21" x14ac:dyDescent="0.25">
      <c r="A376" t="s">
        <v>20</v>
      </c>
      <c r="B376" t="s">
        <v>39</v>
      </c>
      <c r="C376" t="s">
        <v>22</v>
      </c>
      <c r="D376" t="s">
        <v>23</v>
      </c>
      <c r="E376" t="s">
        <v>24</v>
      </c>
      <c r="F376">
        <v>59</v>
      </c>
      <c r="G376">
        <v>70</v>
      </c>
      <c r="H376">
        <v>73</v>
      </c>
      <c r="J376">
        <v>59</v>
      </c>
      <c r="K376">
        <v>7.6811457479999996</v>
      </c>
      <c r="L376">
        <v>59</v>
      </c>
      <c r="M376">
        <v>73</v>
      </c>
      <c r="N376">
        <v>202</v>
      </c>
      <c r="O376">
        <v>67.333333330000002</v>
      </c>
      <c r="P376">
        <v>64.5</v>
      </c>
      <c r="Q376">
        <v>1</v>
      </c>
      <c r="R376">
        <v>8.2100000000000009</v>
      </c>
      <c r="S376" t="s">
        <v>25</v>
      </c>
      <c r="T376" t="s">
        <v>26</v>
      </c>
      <c r="U376">
        <v>17</v>
      </c>
    </row>
    <row r="377" spans="1:21" x14ac:dyDescent="0.25">
      <c r="A377" t="s">
        <v>34</v>
      </c>
      <c r="B377" t="s">
        <v>64</v>
      </c>
      <c r="C377" t="s">
        <v>36</v>
      </c>
      <c r="D377" t="s">
        <v>37</v>
      </c>
      <c r="E377" t="s">
        <v>24</v>
      </c>
      <c r="F377">
        <v>46</v>
      </c>
      <c r="G377">
        <v>43</v>
      </c>
      <c r="H377">
        <v>41</v>
      </c>
      <c r="J377">
        <v>46</v>
      </c>
      <c r="K377">
        <v>6.7823299830000003</v>
      </c>
      <c r="L377">
        <v>41</v>
      </c>
      <c r="M377">
        <v>46</v>
      </c>
      <c r="N377">
        <v>130</v>
      </c>
      <c r="O377">
        <v>43.333333330000002</v>
      </c>
      <c r="P377">
        <v>44.5</v>
      </c>
      <c r="Q377">
        <v>4</v>
      </c>
      <c r="R377">
        <v>6.58</v>
      </c>
      <c r="S377" t="s">
        <v>38</v>
      </c>
      <c r="T377" t="s">
        <v>26</v>
      </c>
      <c r="U377">
        <v>18</v>
      </c>
    </row>
    <row r="378" spans="1:21" x14ac:dyDescent="0.25">
      <c r="A378" t="s">
        <v>20</v>
      </c>
      <c r="B378" t="s">
        <v>39</v>
      </c>
      <c r="C378" t="s">
        <v>50</v>
      </c>
      <c r="D378" t="s">
        <v>23</v>
      </c>
      <c r="E378" t="s">
        <v>24</v>
      </c>
      <c r="F378">
        <v>80</v>
      </c>
      <c r="G378">
        <v>90</v>
      </c>
      <c r="H378">
        <v>82</v>
      </c>
      <c r="J378">
        <v>80</v>
      </c>
      <c r="K378">
        <v>8.9442719099999994</v>
      </c>
      <c r="L378">
        <v>80</v>
      </c>
      <c r="M378">
        <v>90</v>
      </c>
      <c r="N378">
        <v>252</v>
      </c>
      <c r="O378">
        <v>84</v>
      </c>
      <c r="P378">
        <v>81</v>
      </c>
      <c r="Q378">
        <v>2</v>
      </c>
      <c r="R378">
        <v>9.17</v>
      </c>
      <c r="S378" t="s">
        <v>30</v>
      </c>
      <c r="T378" t="s">
        <v>42</v>
      </c>
      <c r="U378">
        <v>16</v>
      </c>
    </row>
    <row r="379" spans="1:21" x14ac:dyDescent="0.25">
      <c r="A379" t="s">
        <v>20</v>
      </c>
      <c r="B379" t="s">
        <v>39</v>
      </c>
      <c r="C379" t="s">
        <v>32</v>
      </c>
      <c r="D379" t="s">
        <v>37</v>
      </c>
      <c r="E379" t="s">
        <v>29</v>
      </c>
      <c r="F379">
        <v>85</v>
      </c>
      <c r="G379">
        <v>95</v>
      </c>
      <c r="H379">
        <v>100</v>
      </c>
      <c r="J379">
        <v>85</v>
      </c>
      <c r="K379">
        <v>9.2195444569999996</v>
      </c>
      <c r="L379">
        <v>85</v>
      </c>
      <c r="M379">
        <v>100</v>
      </c>
      <c r="N379">
        <v>280</v>
      </c>
      <c r="O379">
        <v>93.333333330000002</v>
      </c>
      <c r="P379">
        <v>90</v>
      </c>
      <c r="Q379">
        <v>1</v>
      </c>
      <c r="R379">
        <v>9.66</v>
      </c>
      <c r="S379" t="s">
        <v>33</v>
      </c>
      <c r="T379" t="s">
        <v>26</v>
      </c>
      <c r="U379">
        <v>15</v>
      </c>
    </row>
    <row r="380" spans="1:21" x14ac:dyDescent="0.25">
      <c r="A380" t="s">
        <v>20</v>
      </c>
      <c r="B380" t="s">
        <v>35</v>
      </c>
      <c r="C380" t="s">
        <v>50</v>
      </c>
      <c r="D380" t="s">
        <v>23</v>
      </c>
      <c r="E380" t="s">
        <v>24</v>
      </c>
      <c r="F380">
        <v>71</v>
      </c>
      <c r="G380">
        <v>83</v>
      </c>
      <c r="H380">
        <v>77</v>
      </c>
      <c r="J380">
        <v>71</v>
      </c>
      <c r="K380">
        <v>8.4261497730000006</v>
      </c>
      <c r="L380">
        <v>71</v>
      </c>
      <c r="M380">
        <v>83</v>
      </c>
      <c r="N380">
        <v>231</v>
      </c>
      <c r="O380">
        <v>77</v>
      </c>
      <c r="P380">
        <v>74</v>
      </c>
      <c r="Q380">
        <v>2</v>
      </c>
      <c r="R380">
        <v>8.77</v>
      </c>
      <c r="S380" t="s">
        <v>30</v>
      </c>
      <c r="T380" t="s">
        <v>42</v>
      </c>
      <c r="U380">
        <v>16</v>
      </c>
    </row>
    <row r="381" spans="1:21" x14ac:dyDescent="0.25">
      <c r="A381" t="s">
        <v>34</v>
      </c>
      <c r="B381" t="s">
        <v>35</v>
      </c>
      <c r="C381" t="s">
        <v>22</v>
      </c>
      <c r="D381" t="s">
        <v>23</v>
      </c>
      <c r="E381" t="s">
        <v>24</v>
      </c>
      <c r="F381">
        <v>66</v>
      </c>
      <c r="G381">
        <v>64</v>
      </c>
      <c r="H381">
        <v>62</v>
      </c>
      <c r="J381">
        <v>66</v>
      </c>
      <c r="K381">
        <v>8.1240384050000003</v>
      </c>
      <c r="L381">
        <v>62</v>
      </c>
      <c r="M381">
        <v>66</v>
      </c>
      <c r="N381">
        <v>192</v>
      </c>
      <c r="O381">
        <v>64</v>
      </c>
      <c r="P381">
        <v>65</v>
      </c>
      <c r="Q381">
        <v>4</v>
      </c>
      <c r="R381">
        <v>8</v>
      </c>
      <c r="S381" t="s">
        <v>25</v>
      </c>
      <c r="T381" t="s">
        <v>26</v>
      </c>
      <c r="U381">
        <v>17</v>
      </c>
    </row>
    <row r="382" spans="1:21" x14ac:dyDescent="0.25">
      <c r="A382" t="s">
        <v>20</v>
      </c>
      <c r="B382" t="s">
        <v>21</v>
      </c>
      <c r="C382" t="s">
        <v>36</v>
      </c>
      <c r="D382" t="s">
        <v>23</v>
      </c>
      <c r="E382" t="s">
        <v>24</v>
      </c>
      <c r="F382">
        <v>80</v>
      </c>
      <c r="G382">
        <v>86</v>
      </c>
      <c r="H382">
        <v>83</v>
      </c>
      <c r="J382">
        <v>80</v>
      </c>
      <c r="K382">
        <v>8.9442719099999994</v>
      </c>
      <c r="L382">
        <v>80</v>
      </c>
      <c r="M382">
        <v>86</v>
      </c>
      <c r="N382">
        <v>249</v>
      </c>
      <c r="O382">
        <v>83</v>
      </c>
      <c r="P382">
        <v>81.5</v>
      </c>
      <c r="Q382">
        <v>2</v>
      </c>
      <c r="R382">
        <v>9.11</v>
      </c>
      <c r="S382" t="s">
        <v>38</v>
      </c>
      <c r="T382" t="s">
        <v>26</v>
      </c>
      <c r="U382">
        <v>18</v>
      </c>
    </row>
    <row r="383" spans="1:21" x14ac:dyDescent="0.25">
      <c r="A383" t="s">
        <v>34</v>
      </c>
      <c r="B383" t="s">
        <v>27</v>
      </c>
      <c r="C383" t="s">
        <v>36</v>
      </c>
      <c r="D383" t="s">
        <v>23</v>
      </c>
      <c r="E383" t="s">
        <v>29</v>
      </c>
      <c r="F383">
        <v>87</v>
      </c>
      <c r="G383">
        <v>100</v>
      </c>
      <c r="H383">
        <v>95</v>
      </c>
      <c r="J383">
        <v>87</v>
      </c>
      <c r="K383">
        <v>9.3273790529999996</v>
      </c>
      <c r="L383">
        <v>87</v>
      </c>
      <c r="M383">
        <v>100</v>
      </c>
      <c r="N383">
        <v>282</v>
      </c>
      <c r="O383">
        <v>94</v>
      </c>
      <c r="P383">
        <v>91</v>
      </c>
      <c r="Q383">
        <v>2</v>
      </c>
      <c r="R383">
        <v>9.6999999999999993</v>
      </c>
      <c r="S383" t="s">
        <v>38</v>
      </c>
      <c r="T383" t="s">
        <v>26</v>
      </c>
      <c r="U383">
        <v>18</v>
      </c>
    </row>
    <row r="384" spans="1:21" x14ac:dyDescent="0.25">
      <c r="A384" t="s">
        <v>34</v>
      </c>
      <c r="B384" t="s">
        <v>27</v>
      </c>
      <c r="C384" t="s">
        <v>32</v>
      </c>
      <c r="D384" t="s">
        <v>37</v>
      </c>
      <c r="E384" t="s">
        <v>24</v>
      </c>
      <c r="F384">
        <v>79</v>
      </c>
      <c r="G384">
        <v>81</v>
      </c>
      <c r="H384">
        <v>71</v>
      </c>
      <c r="J384">
        <v>79</v>
      </c>
      <c r="K384">
        <v>8.8881944169999993</v>
      </c>
      <c r="L384">
        <v>71</v>
      </c>
      <c r="M384">
        <v>81</v>
      </c>
      <c r="N384">
        <v>231</v>
      </c>
      <c r="O384">
        <v>77</v>
      </c>
      <c r="P384">
        <v>79</v>
      </c>
      <c r="Q384">
        <v>4</v>
      </c>
      <c r="R384">
        <v>8.77</v>
      </c>
      <c r="S384" t="s">
        <v>33</v>
      </c>
      <c r="T384" t="s">
        <v>26</v>
      </c>
      <c r="U384">
        <v>15</v>
      </c>
    </row>
    <row r="385" spans="1:21" x14ac:dyDescent="0.25">
      <c r="A385" t="s">
        <v>20</v>
      </c>
      <c r="B385" t="s">
        <v>64</v>
      </c>
      <c r="C385" t="s">
        <v>50</v>
      </c>
      <c r="D385" t="s">
        <v>37</v>
      </c>
      <c r="E385" t="s">
        <v>24</v>
      </c>
      <c r="F385">
        <v>38</v>
      </c>
      <c r="G385">
        <v>49</v>
      </c>
      <c r="H385">
        <v>45</v>
      </c>
      <c r="J385">
        <v>38</v>
      </c>
      <c r="K385">
        <v>6.1644140030000001</v>
      </c>
      <c r="L385">
        <v>38</v>
      </c>
      <c r="M385">
        <v>49</v>
      </c>
      <c r="N385">
        <v>132</v>
      </c>
      <c r="O385">
        <v>44</v>
      </c>
      <c r="P385">
        <v>41.5</v>
      </c>
      <c r="Q385">
        <v>2</v>
      </c>
      <c r="R385">
        <v>6.63</v>
      </c>
      <c r="S385" t="s">
        <v>30</v>
      </c>
      <c r="T385" t="s">
        <v>42</v>
      </c>
      <c r="U385">
        <v>16</v>
      </c>
    </row>
    <row r="386" spans="1:21" x14ac:dyDescent="0.25">
      <c r="A386" t="s">
        <v>20</v>
      </c>
      <c r="B386" t="s">
        <v>35</v>
      </c>
      <c r="C386" t="s">
        <v>50</v>
      </c>
      <c r="D386" t="s">
        <v>37</v>
      </c>
      <c r="E386" t="s">
        <v>24</v>
      </c>
      <c r="F386">
        <v>38</v>
      </c>
      <c r="G386">
        <v>43</v>
      </c>
      <c r="H386">
        <v>43</v>
      </c>
      <c r="J386">
        <v>38</v>
      </c>
      <c r="K386">
        <v>6.1644140030000001</v>
      </c>
      <c r="L386">
        <v>38</v>
      </c>
      <c r="M386">
        <v>43</v>
      </c>
      <c r="N386">
        <v>124</v>
      </c>
      <c r="O386">
        <v>41.333333330000002</v>
      </c>
      <c r="P386">
        <v>40.5</v>
      </c>
      <c r="Q386">
        <v>1</v>
      </c>
      <c r="R386">
        <v>6.43</v>
      </c>
      <c r="S386" t="s">
        <v>30</v>
      </c>
      <c r="T386" t="s">
        <v>42</v>
      </c>
      <c r="U386">
        <v>16</v>
      </c>
    </row>
    <row r="387" spans="1:21" x14ac:dyDescent="0.25">
      <c r="A387" t="s">
        <v>20</v>
      </c>
      <c r="B387" t="s">
        <v>64</v>
      </c>
      <c r="C387" t="s">
        <v>28</v>
      </c>
      <c r="D387" t="s">
        <v>23</v>
      </c>
      <c r="E387" t="s">
        <v>24</v>
      </c>
      <c r="F387">
        <v>67</v>
      </c>
      <c r="G387">
        <v>76</v>
      </c>
      <c r="H387">
        <v>75</v>
      </c>
      <c r="J387">
        <v>67</v>
      </c>
      <c r="K387">
        <v>8.1853527719999999</v>
      </c>
      <c r="L387">
        <v>67</v>
      </c>
      <c r="M387">
        <v>76</v>
      </c>
      <c r="N387">
        <v>218</v>
      </c>
      <c r="O387">
        <v>72.666666669999998</v>
      </c>
      <c r="P387">
        <v>71</v>
      </c>
      <c r="Q387">
        <v>2</v>
      </c>
      <c r="R387">
        <v>8.52</v>
      </c>
      <c r="S387" t="s">
        <v>30</v>
      </c>
      <c r="T387" t="s">
        <v>31</v>
      </c>
      <c r="U387">
        <v>12</v>
      </c>
    </row>
    <row r="388" spans="1:21" x14ac:dyDescent="0.25">
      <c r="A388" t="s">
        <v>20</v>
      </c>
      <c r="B388" t="s">
        <v>64</v>
      </c>
      <c r="C388" t="s">
        <v>22</v>
      </c>
      <c r="D388" t="s">
        <v>23</v>
      </c>
      <c r="E388" t="s">
        <v>24</v>
      </c>
      <c r="F388">
        <v>64</v>
      </c>
      <c r="G388">
        <v>73</v>
      </c>
      <c r="H388">
        <v>70</v>
      </c>
      <c r="J388">
        <v>64</v>
      </c>
      <c r="K388">
        <v>8</v>
      </c>
      <c r="L388">
        <v>64</v>
      </c>
      <c r="M388">
        <v>73</v>
      </c>
      <c r="N388">
        <v>207</v>
      </c>
      <c r="O388">
        <v>69</v>
      </c>
      <c r="P388">
        <v>67</v>
      </c>
      <c r="Q388">
        <v>2</v>
      </c>
      <c r="R388">
        <v>8.31</v>
      </c>
      <c r="S388" t="s">
        <v>25</v>
      </c>
      <c r="T388" t="s">
        <v>26</v>
      </c>
      <c r="U388">
        <v>17</v>
      </c>
    </row>
    <row r="389" spans="1:21" x14ac:dyDescent="0.25">
      <c r="A389" t="s">
        <v>20</v>
      </c>
      <c r="B389" t="s">
        <v>27</v>
      </c>
      <c r="C389" t="s">
        <v>36</v>
      </c>
      <c r="D389" t="s">
        <v>37</v>
      </c>
      <c r="E389" t="s">
        <v>24</v>
      </c>
      <c r="F389">
        <v>57</v>
      </c>
      <c r="G389">
        <v>78</v>
      </c>
      <c r="H389">
        <v>67</v>
      </c>
      <c r="J389">
        <v>57</v>
      </c>
      <c r="K389">
        <v>7.5498344350000002</v>
      </c>
      <c r="L389">
        <v>57</v>
      </c>
      <c r="M389">
        <v>78</v>
      </c>
      <c r="N389">
        <v>202</v>
      </c>
      <c r="O389">
        <v>67.333333330000002</v>
      </c>
      <c r="P389">
        <v>62</v>
      </c>
      <c r="Q389">
        <v>2</v>
      </c>
      <c r="R389">
        <v>8.2100000000000009</v>
      </c>
      <c r="S389" t="s">
        <v>38</v>
      </c>
      <c r="T389" t="s">
        <v>26</v>
      </c>
      <c r="U389">
        <v>18</v>
      </c>
    </row>
    <row r="390" spans="1:21" x14ac:dyDescent="0.25">
      <c r="A390" t="s">
        <v>20</v>
      </c>
      <c r="B390" t="s">
        <v>39</v>
      </c>
      <c r="C390" t="s">
        <v>40</v>
      </c>
      <c r="D390" t="s">
        <v>23</v>
      </c>
      <c r="E390" t="s">
        <v>24</v>
      </c>
      <c r="F390">
        <v>62</v>
      </c>
      <c r="G390">
        <v>64</v>
      </c>
      <c r="H390">
        <v>64</v>
      </c>
      <c r="J390">
        <v>62</v>
      </c>
      <c r="K390">
        <v>7.8740078740000001</v>
      </c>
      <c r="L390">
        <v>62</v>
      </c>
      <c r="M390">
        <v>64</v>
      </c>
      <c r="N390">
        <v>190</v>
      </c>
      <c r="O390">
        <v>63.333333330000002</v>
      </c>
      <c r="P390">
        <v>63</v>
      </c>
      <c r="Q390">
        <v>1</v>
      </c>
      <c r="R390">
        <v>7.96</v>
      </c>
      <c r="S390" t="s">
        <v>41</v>
      </c>
      <c r="T390" t="s">
        <v>42</v>
      </c>
      <c r="U390">
        <v>11</v>
      </c>
    </row>
    <row r="391" spans="1:21" x14ac:dyDescent="0.25">
      <c r="A391" t="s">
        <v>34</v>
      </c>
      <c r="B391" t="s">
        <v>39</v>
      </c>
      <c r="C391" t="s">
        <v>32</v>
      </c>
      <c r="D391" t="s">
        <v>23</v>
      </c>
      <c r="E391" t="s">
        <v>24</v>
      </c>
      <c r="F391">
        <v>73</v>
      </c>
      <c r="G391">
        <v>70</v>
      </c>
      <c r="H391">
        <v>75</v>
      </c>
      <c r="J391">
        <v>73</v>
      </c>
      <c r="K391">
        <v>8.5440037449999995</v>
      </c>
      <c r="L391">
        <v>70</v>
      </c>
      <c r="M391">
        <v>75</v>
      </c>
      <c r="N391">
        <v>218</v>
      </c>
      <c r="O391">
        <v>72.666666669999998</v>
      </c>
      <c r="P391">
        <v>73</v>
      </c>
      <c r="Q391">
        <v>1</v>
      </c>
      <c r="R391">
        <v>8.52</v>
      </c>
      <c r="S391" t="s">
        <v>33</v>
      </c>
      <c r="T391" t="s">
        <v>26</v>
      </c>
      <c r="U391">
        <v>15</v>
      </c>
    </row>
    <row r="392" spans="1:21" x14ac:dyDescent="0.25">
      <c r="A392" t="s">
        <v>34</v>
      </c>
      <c r="B392" t="s">
        <v>64</v>
      </c>
      <c r="C392" t="s">
        <v>50</v>
      </c>
      <c r="D392" t="s">
        <v>37</v>
      </c>
      <c r="E392" t="s">
        <v>29</v>
      </c>
      <c r="F392">
        <v>73</v>
      </c>
      <c r="G392">
        <v>67</v>
      </c>
      <c r="H392">
        <v>59</v>
      </c>
      <c r="J392">
        <v>73</v>
      </c>
      <c r="K392">
        <v>8.5440037449999995</v>
      </c>
      <c r="L392">
        <v>59</v>
      </c>
      <c r="M392">
        <v>73</v>
      </c>
      <c r="N392">
        <v>199</v>
      </c>
      <c r="O392">
        <v>66.333333330000002</v>
      </c>
      <c r="P392">
        <v>70</v>
      </c>
      <c r="Q392">
        <v>4</v>
      </c>
      <c r="R392">
        <v>8.14</v>
      </c>
      <c r="S392" t="s">
        <v>30</v>
      </c>
      <c r="T392" t="s">
        <v>42</v>
      </c>
      <c r="U392">
        <v>16</v>
      </c>
    </row>
    <row r="393" spans="1:21" x14ac:dyDescent="0.25">
      <c r="A393" t="s">
        <v>20</v>
      </c>
      <c r="B393" t="s">
        <v>39</v>
      </c>
      <c r="C393" t="s">
        <v>28</v>
      </c>
      <c r="D393" t="s">
        <v>23</v>
      </c>
      <c r="E393" t="s">
        <v>24</v>
      </c>
      <c r="F393">
        <v>77</v>
      </c>
      <c r="G393">
        <v>68</v>
      </c>
      <c r="H393">
        <v>77</v>
      </c>
      <c r="J393">
        <v>77</v>
      </c>
      <c r="K393">
        <v>8.7749643870000007</v>
      </c>
      <c r="L393">
        <v>68</v>
      </c>
      <c r="M393">
        <v>77</v>
      </c>
      <c r="N393">
        <v>222</v>
      </c>
      <c r="O393">
        <v>74</v>
      </c>
      <c r="P393">
        <v>77</v>
      </c>
      <c r="Q393">
        <v>1</v>
      </c>
      <c r="R393">
        <v>8.6</v>
      </c>
      <c r="S393" t="s">
        <v>30</v>
      </c>
      <c r="T393" t="s">
        <v>31</v>
      </c>
      <c r="U393">
        <v>12</v>
      </c>
    </row>
    <row r="394" spans="1:21" x14ac:dyDescent="0.25">
      <c r="A394" t="s">
        <v>34</v>
      </c>
      <c r="B394" t="s">
        <v>64</v>
      </c>
      <c r="C394" t="s">
        <v>28</v>
      </c>
      <c r="D394" t="s">
        <v>23</v>
      </c>
      <c r="E394" t="s">
        <v>24</v>
      </c>
      <c r="F394">
        <v>76</v>
      </c>
      <c r="G394">
        <v>67</v>
      </c>
      <c r="H394">
        <v>67</v>
      </c>
      <c r="J394">
        <v>76</v>
      </c>
      <c r="K394">
        <v>8.7177978869999997</v>
      </c>
      <c r="L394">
        <v>67</v>
      </c>
      <c r="M394">
        <v>76</v>
      </c>
      <c r="N394">
        <v>210</v>
      </c>
      <c r="O394">
        <v>70</v>
      </c>
      <c r="P394">
        <v>71.5</v>
      </c>
      <c r="Q394">
        <v>3</v>
      </c>
      <c r="R394">
        <v>8.3699999999999992</v>
      </c>
      <c r="S394" t="s">
        <v>30</v>
      </c>
      <c r="T394" t="s">
        <v>31</v>
      </c>
      <c r="U394">
        <v>12</v>
      </c>
    </row>
    <row r="395" spans="1:21" x14ac:dyDescent="0.25">
      <c r="A395" t="s">
        <v>34</v>
      </c>
      <c r="B395" t="s">
        <v>27</v>
      </c>
      <c r="C395" t="s">
        <v>36</v>
      </c>
      <c r="D395" t="s">
        <v>23</v>
      </c>
      <c r="E395" t="s">
        <v>29</v>
      </c>
      <c r="F395">
        <v>57</v>
      </c>
      <c r="G395">
        <v>54</v>
      </c>
      <c r="H395">
        <v>56</v>
      </c>
      <c r="J395">
        <v>57</v>
      </c>
      <c r="K395">
        <v>7.5498344350000002</v>
      </c>
      <c r="L395">
        <v>54</v>
      </c>
      <c r="M395">
        <v>57</v>
      </c>
      <c r="N395">
        <v>167</v>
      </c>
      <c r="O395">
        <v>55.666666669999998</v>
      </c>
      <c r="P395">
        <v>56.5</v>
      </c>
      <c r="Q395">
        <v>3</v>
      </c>
      <c r="R395">
        <v>7.46</v>
      </c>
      <c r="S395" t="s">
        <v>38</v>
      </c>
      <c r="T395" t="s">
        <v>26</v>
      </c>
      <c r="U395">
        <v>18</v>
      </c>
    </row>
    <row r="396" spans="1:21" x14ac:dyDescent="0.25">
      <c r="A396" t="s">
        <v>20</v>
      </c>
      <c r="B396" t="s">
        <v>27</v>
      </c>
      <c r="C396" t="s">
        <v>50</v>
      </c>
      <c r="D396" t="s">
        <v>23</v>
      </c>
      <c r="E396" t="s">
        <v>29</v>
      </c>
      <c r="F396">
        <v>65</v>
      </c>
      <c r="G396">
        <v>74</v>
      </c>
      <c r="H396">
        <v>77</v>
      </c>
      <c r="J396">
        <v>65</v>
      </c>
      <c r="K396">
        <v>8.0622577480000004</v>
      </c>
      <c r="L396">
        <v>65</v>
      </c>
      <c r="M396">
        <v>77</v>
      </c>
      <c r="N396">
        <v>216</v>
      </c>
      <c r="O396">
        <v>72</v>
      </c>
      <c r="P396">
        <v>69.5</v>
      </c>
      <c r="Q396">
        <v>1</v>
      </c>
      <c r="R396">
        <v>8.49</v>
      </c>
      <c r="S396" t="s">
        <v>30</v>
      </c>
      <c r="T396" t="s">
        <v>42</v>
      </c>
      <c r="U396">
        <v>16</v>
      </c>
    </row>
    <row r="397" spans="1:21" x14ac:dyDescent="0.25">
      <c r="A397" t="s">
        <v>34</v>
      </c>
      <c r="B397" t="s">
        <v>35</v>
      </c>
      <c r="C397" t="s">
        <v>40</v>
      </c>
      <c r="D397" t="s">
        <v>37</v>
      </c>
      <c r="E397" t="s">
        <v>24</v>
      </c>
      <c r="F397">
        <v>48</v>
      </c>
      <c r="G397">
        <v>45</v>
      </c>
      <c r="H397">
        <v>41</v>
      </c>
      <c r="J397">
        <v>48</v>
      </c>
      <c r="K397">
        <v>6.9282032300000003</v>
      </c>
      <c r="L397">
        <v>41</v>
      </c>
      <c r="M397">
        <v>48</v>
      </c>
      <c r="N397">
        <v>134</v>
      </c>
      <c r="O397">
        <v>44.666666669999998</v>
      </c>
      <c r="P397">
        <v>46.5</v>
      </c>
      <c r="Q397">
        <v>4</v>
      </c>
      <c r="R397">
        <v>6.68</v>
      </c>
      <c r="S397" t="s">
        <v>41</v>
      </c>
      <c r="T397" t="s">
        <v>42</v>
      </c>
      <c r="U397">
        <v>11</v>
      </c>
    </row>
    <row r="398" spans="1:21" x14ac:dyDescent="0.25">
      <c r="A398" t="s">
        <v>20</v>
      </c>
      <c r="B398" t="s">
        <v>21</v>
      </c>
      <c r="C398" t="s">
        <v>40</v>
      </c>
      <c r="D398" t="s">
        <v>37</v>
      </c>
      <c r="E398" t="s">
        <v>24</v>
      </c>
      <c r="F398">
        <v>50</v>
      </c>
      <c r="G398">
        <v>67</v>
      </c>
      <c r="H398">
        <v>63</v>
      </c>
      <c r="J398">
        <v>50</v>
      </c>
      <c r="K398">
        <v>7.0710678119999999</v>
      </c>
      <c r="L398">
        <v>50</v>
      </c>
      <c r="M398">
        <v>67</v>
      </c>
      <c r="N398">
        <v>180</v>
      </c>
      <c r="O398">
        <v>60</v>
      </c>
      <c r="P398">
        <v>56.5</v>
      </c>
      <c r="Q398">
        <v>2</v>
      </c>
      <c r="R398">
        <v>7.75</v>
      </c>
      <c r="S398" t="s">
        <v>41</v>
      </c>
      <c r="T398" t="s">
        <v>42</v>
      </c>
      <c r="U398">
        <v>11</v>
      </c>
    </row>
    <row r="399" spans="1:21" x14ac:dyDescent="0.25">
      <c r="A399" t="s">
        <v>20</v>
      </c>
      <c r="B399" t="s">
        <v>27</v>
      </c>
      <c r="C399" t="s">
        <v>36</v>
      </c>
      <c r="D399" t="s">
        <v>23</v>
      </c>
      <c r="E399" t="s">
        <v>24</v>
      </c>
      <c r="F399">
        <v>85</v>
      </c>
      <c r="G399">
        <v>89</v>
      </c>
      <c r="H399">
        <v>95</v>
      </c>
      <c r="J399">
        <v>85</v>
      </c>
      <c r="K399">
        <v>9.2195444569999996</v>
      </c>
      <c r="L399">
        <v>85</v>
      </c>
      <c r="M399">
        <v>95</v>
      </c>
      <c r="N399">
        <v>269</v>
      </c>
      <c r="O399">
        <v>89.666666669999998</v>
      </c>
      <c r="P399">
        <v>87</v>
      </c>
      <c r="Q399">
        <v>1</v>
      </c>
      <c r="R399">
        <v>9.4700000000000006</v>
      </c>
      <c r="S399" t="s">
        <v>38</v>
      </c>
      <c r="T399" t="s">
        <v>26</v>
      </c>
      <c r="U399">
        <v>18</v>
      </c>
    </row>
    <row r="400" spans="1:21" x14ac:dyDescent="0.25">
      <c r="A400" t="s">
        <v>34</v>
      </c>
      <c r="B400" t="s">
        <v>21</v>
      </c>
      <c r="C400" t="s">
        <v>50</v>
      </c>
      <c r="D400" t="s">
        <v>23</v>
      </c>
      <c r="E400" t="s">
        <v>24</v>
      </c>
      <c r="F400">
        <v>74</v>
      </c>
      <c r="G400">
        <v>63</v>
      </c>
      <c r="H400">
        <v>57</v>
      </c>
      <c r="J400">
        <v>74</v>
      </c>
      <c r="K400">
        <v>8.6023252669999994</v>
      </c>
      <c r="L400">
        <v>57</v>
      </c>
      <c r="M400">
        <v>74</v>
      </c>
      <c r="N400">
        <v>194</v>
      </c>
      <c r="O400">
        <v>64.666666669999998</v>
      </c>
      <c r="P400">
        <v>68.5</v>
      </c>
      <c r="Q400">
        <v>4</v>
      </c>
      <c r="R400">
        <v>8.0399999999999991</v>
      </c>
      <c r="S400" t="s">
        <v>30</v>
      </c>
      <c r="T400" t="s">
        <v>42</v>
      </c>
      <c r="U400">
        <v>16</v>
      </c>
    </row>
    <row r="401" spans="1:21" x14ac:dyDescent="0.25">
      <c r="A401" t="s">
        <v>34</v>
      </c>
      <c r="B401" t="s">
        <v>39</v>
      </c>
      <c r="C401" t="s">
        <v>50</v>
      </c>
      <c r="D401" t="s">
        <v>23</v>
      </c>
      <c r="E401" t="s">
        <v>24</v>
      </c>
      <c r="F401">
        <v>60</v>
      </c>
      <c r="G401">
        <v>59</v>
      </c>
      <c r="H401">
        <v>54</v>
      </c>
      <c r="J401">
        <v>60</v>
      </c>
      <c r="K401">
        <v>7.7459666919999997</v>
      </c>
      <c r="L401">
        <v>54</v>
      </c>
      <c r="M401">
        <v>60</v>
      </c>
      <c r="N401">
        <v>173</v>
      </c>
      <c r="O401">
        <v>57.666666669999998</v>
      </c>
      <c r="P401">
        <v>59.5</v>
      </c>
      <c r="Q401">
        <v>4</v>
      </c>
      <c r="R401">
        <v>7.59</v>
      </c>
      <c r="S401" t="s">
        <v>30</v>
      </c>
      <c r="T401" t="s">
        <v>42</v>
      </c>
      <c r="U401">
        <v>16</v>
      </c>
    </row>
    <row r="402" spans="1:21" x14ac:dyDescent="0.25">
      <c r="A402" t="s">
        <v>20</v>
      </c>
      <c r="B402" t="s">
        <v>27</v>
      </c>
      <c r="C402" t="s">
        <v>50</v>
      </c>
      <c r="D402" t="s">
        <v>23</v>
      </c>
      <c r="E402" t="s">
        <v>29</v>
      </c>
      <c r="F402">
        <v>59</v>
      </c>
      <c r="G402">
        <v>54</v>
      </c>
      <c r="H402">
        <v>67</v>
      </c>
      <c r="J402">
        <v>59</v>
      </c>
      <c r="K402">
        <v>7.6811457479999996</v>
      </c>
      <c r="L402">
        <v>54</v>
      </c>
      <c r="M402">
        <v>67</v>
      </c>
      <c r="N402">
        <v>180</v>
      </c>
      <c r="O402">
        <v>60</v>
      </c>
      <c r="P402">
        <v>59</v>
      </c>
      <c r="Q402">
        <v>1</v>
      </c>
      <c r="R402">
        <v>7.75</v>
      </c>
      <c r="S402" t="s">
        <v>30</v>
      </c>
      <c r="T402" t="s">
        <v>42</v>
      </c>
      <c r="U402">
        <v>16</v>
      </c>
    </row>
    <row r="403" spans="1:21" x14ac:dyDescent="0.25">
      <c r="A403" t="s">
        <v>34</v>
      </c>
      <c r="B403" t="s">
        <v>35</v>
      </c>
      <c r="C403" t="s">
        <v>28</v>
      </c>
      <c r="D403" t="s">
        <v>23</v>
      </c>
      <c r="E403" t="s">
        <v>24</v>
      </c>
      <c r="F403">
        <v>53</v>
      </c>
      <c r="G403">
        <v>43</v>
      </c>
      <c r="H403">
        <v>43</v>
      </c>
      <c r="J403">
        <v>53</v>
      </c>
      <c r="K403">
        <v>7.2801098890000002</v>
      </c>
      <c r="L403">
        <v>43</v>
      </c>
      <c r="M403">
        <v>53</v>
      </c>
      <c r="N403">
        <v>139</v>
      </c>
      <c r="O403">
        <v>46.333333330000002</v>
      </c>
      <c r="P403">
        <v>48</v>
      </c>
      <c r="Q403">
        <v>3</v>
      </c>
      <c r="R403">
        <v>6.81</v>
      </c>
      <c r="S403" t="s">
        <v>30</v>
      </c>
      <c r="T403" t="s">
        <v>31</v>
      </c>
      <c r="U403">
        <v>12</v>
      </c>
    </row>
    <row r="404" spans="1:21" x14ac:dyDescent="0.25">
      <c r="A404" t="s">
        <v>20</v>
      </c>
      <c r="B404" t="s">
        <v>35</v>
      </c>
      <c r="C404" t="s">
        <v>28</v>
      </c>
      <c r="D404" t="s">
        <v>37</v>
      </c>
      <c r="E404" t="s">
        <v>24</v>
      </c>
      <c r="F404">
        <v>49</v>
      </c>
      <c r="G404">
        <v>65</v>
      </c>
      <c r="H404">
        <v>55</v>
      </c>
      <c r="J404">
        <v>49</v>
      </c>
      <c r="K404">
        <v>7</v>
      </c>
      <c r="L404">
        <v>49</v>
      </c>
      <c r="M404">
        <v>65</v>
      </c>
      <c r="N404">
        <v>169</v>
      </c>
      <c r="O404">
        <v>56.333333330000002</v>
      </c>
      <c r="P404">
        <v>52</v>
      </c>
      <c r="Q404">
        <v>2</v>
      </c>
      <c r="R404">
        <v>7.51</v>
      </c>
      <c r="S404" t="s">
        <v>30</v>
      </c>
      <c r="T404" t="s">
        <v>31</v>
      </c>
      <c r="U404">
        <v>12</v>
      </c>
    </row>
    <row r="405" spans="1:21" x14ac:dyDescent="0.25">
      <c r="A405" t="s">
        <v>20</v>
      </c>
      <c r="B405" t="s">
        <v>39</v>
      </c>
      <c r="C405" t="s">
        <v>40</v>
      </c>
      <c r="D405" t="s">
        <v>23</v>
      </c>
      <c r="E405" t="s">
        <v>29</v>
      </c>
      <c r="F405">
        <v>88</v>
      </c>
      <c r="G405">
        <v>99</v>
      </c>
      <c r="H405">
        <v>100</v>
      </c>
      <c r="J405">
        <v>88</v>
      </c>
      <c r="K405">
        <v>9.3808315199999992</v>
      </c>
      <c r="L405">
        <v>88</v>
      </c>
      <c r="M405">
        <v>100</v>
      </c>
      <c r="N405">
        <v>287</v>
      </c>
      <c r="O405">
        <v>95.666666669999998</v>
      </c>
      <c r="P405">
        <v>93.5</v>
      </c>
      <c r="Q405">
        <v>1</v>
      </c>
      <c r="R405">
        <v>9.7799999999999994</v>
      </c>
      <c r="S405" t="s">
        <v>41</v>
      </c>
      <c r="T405" t="s">
        <v>42</v>
      </c>
      <c r="U405">
        <v>11</v>
      </c>
    </row>
    <row r="406" spans="1:21" x14ac:dyDescent="0.25">
      <c r="A406" t="s">
        <v>20</v>
      </c>
      <c r="B406" t="s">
        <v>27</v>
      </c>
      <c r="C406" t="s">
        <v>40</v>
      </c>
      <c r="D406" t="s">
        <v>23</v>
      </c>
      <c r="E406" t="s">
        <v>24</v>
      </c>
      <c r="F406">
        <v>54</v>
      </c>
      <c r="G406">
        <v>59</v>
      </c>
      <c r="H406">
        <v>62</v>
      </c>
      <c r="J406">
        <v>54</v>
      </c>
      <c r="K406">
        <v>7.3484692279999999</v>
      </c>
      <c r="L406">
        <v>54</v>
      </c>
      <c r="M406">
        <v>62</v>
      </c>
      <c r="N406">
        <v>175</v>
      </c>
      <c r="O406">
        <v>58.333333330000002</v>
      </c>
      <c r="P406">
        <v>56.5</v>
      </c>
      <c r="Q406">
        <v>1</v>
      </c>
      <c r="R406">
        <v>7.64</v>
      </c>
      <c r="S406" t="s">
        <v>41</v>
      </c>
      <c r="T406" t="s">
        <v>42</v>
      </c>
      <c r="U406">
        <v>11</v>
      </c>
    </row>
    <row r="407" spans="1:21" x14ac:dyDescent="0.25">
      <c r="A407" t="s">
        <v>20</v>
      </c>
      <c r="B407" t="s">
        <v>27</v>
      </c>
      <c r="C407" t="s">
        <v>50</v>
      </c>
      <c r="D407" t="s">
        <v>23</v>
      </c>
      <c r="E407" t="s">
        <v>24</v>
      </c>
      <c r="F407">
        <v>63</v>
      </c>
      <c r="G407">
        <v>73</v>
      </c>
      <c r="H407">
        <v>68</v>
      </c>
      <c r="J407">
        <v>63</v>
      </c>
      <c r="K407">
        <v>7.937253933</v>
      </c>
      <c r="L407">
        <v>63</v>
      </c>
      <c r="M407">
        <v>73</v>
      </c>
      <c r="N407">
        <v>204</v>
      </c>
      <c r="O407">
        <v>68</v>
      </c>
      <c r="P407">
        <v>65.5</v>
      </c>
      <c r="Q407">
        <v>2</v>
      </c>
      <c r="R407">
        <v>8.25</v>
      </c>
      <c r="S407" t="s">
        <v>30</v>
      </c>
      <c r="T407" t="s">
        <v>42</v>
      </c>
      <c r="U407">
        <v>16</v>
      </c>
    </row>
    <row r="408" spans="1:21" x14ac:dyDescent="0.25">
      <c r="A408" t="s">
        <v>34</v>
      </c>
      <c r="B408" t="s">
        <v>21</v>
      </c>
      <c r="C408" t="s">
        <v>36</v>
      </c>
      <c r="D408" t="s">
        <v>23</v>
      </c>
      <c r="E408" t="s">
        <v>29</v>
      </c>
      <c r="F408">
        <v>65</v>
      </c>
      <c r="G408">
        <v>65</v>
      </c>
      <c r="H408">
        <v>63</v>
      </c>
      <c r="J408">
        <v>65</v>
      </c>
      <c r="K408">
        <v>8.0622577480000004</v>
      </c>
      <c r="L408">
        <v>63</v>
      </c>
      <c r="M408">
        <v>65</v>
      </c>
      <c r="N408">
        <v>193</v>
      </c>
      <c r="O408">
        <v>64.333333330000002</v>
      </c>
      <c r="P408">
        <v>65</v>
      </c>
      <c r="Q408">
        <v>4</v>
      </c>
      <c r="R408">
        <v>8.02</v>
      </c>
      <c r="S408" t="s">
        <v>38</v>
      </c>
      <c r="T408" t="s">
        <v>26</v>
      </c>
      <c r="U408">
        <v>18</v>
      </c>
    </row>
    <row r="409" spans="1:21" x14ac:dyDescent="0.25">
      <c r="A409" t="s">
        <v>20</v>
      </c>
      <c r="B409" t="s">
        <v>21</v>
      </c>
      <c r="C409" t="s">
        <v>36</v>
      </c>
      <c r="D409" t="s">
        <v>23</v>
      </c>
      <c r="E409" t="s">
        <v>24</v>
      </c>
      <c r="F409">
        <v>82</v>
      </c>
      <c r="G409">
        <v>80</v>
      </c>
      <c r="H409">
        <v>77</v>
      </c>
      <c r="J409">
        <v>82</v>
      </c>
      <c r="K409">
        <v>9.0553851380000001</v>
      </c>
      <c r="L409">
        <v>77</v>
      </c>
      <c r="M409">
        <v>82</v>
      </c>
      <c r="N409">
        <v>239</v>
      </c>
      <c r="O409">
        <v>79.666666669999998</v>
      </c>
      <c r="P409">
        <v>81</v>
      </c>
      <c r="Q409">
        <v>4</v>
      </c>
      <c r="R409">
        <v>8.93</v>
      </c>
      <c r="S409" t="s">
        <v>38</v>
      </c>
      <c r="T409" t="s">
        <v>26</v>
      </c>
      <c r="U409">
        <v>18</v>
      </c>
    </row>
    <row r="410" spans="1:21" x14ac:dyDescent="0.25">
      <c r="A410" t="s">
        <v>20</v>
      </c>
      <c r="B410" t="s">
        <v>39</v>
      </c>
      <c r="C410" t="s">
        <v>40</v>
      </c>
      <c r="D410" t="s">
        <v>37</v>
      </c>
      <c r="E410" t="s">
        <v>29</v>
      </c>
      <c r="F410">
        <v>52</v>
      </c>
      <c r="G410">
        <v>57</v>
      </c>
      <c r="H410">
        <v>56</v>
      </c>
      <c r="J410">
        <v>52</v>
      </c>
      <c r="K410">
        <v>7.2111025509999997</v>
      </c>
      <c r="L410">
        <v>52</v>
      </c>
      <c r="M410">
        <v>57</v>
      </c>
      <c r="N410">
        <v>165</v>
      </c>
      <c r="O410">
        <v>55</v>
      </c>
      <c r="P410">
        <v>54</v>
      </c>
      <c r="Q410">
        <v>2</v>
      </c>
      <c r="R410">
        <v>7.42</v>
      </c>
      <c r="S410" t="s">
        <v>41</v>
      </c>
      <c r="T410" t="s">
        <v>42</v>
      </c>
      <c r="U410">
        <v>11</v>
      </c>
    </row>
    <row r="411" spans="1:21" x14ac:dyDescent="0.25">
      <c r="A411" t="s">
        <v>34</v>
      </c>
      <c r="B411" t="s">
        <v>39</v>
      </c>
      <c r="C411" t="s">
        <v>36</v>
      </c>
      <c r="D411" t="s">
        <v>23</v>
      </c>
      <c r="E411" t="s">
        <v>29</v>
      </c>
      <c r="F411">
        <v>87</v>
      </c>
      <c r="G411">
        <v>84</v>
      </c>
      <c r="H411">
        <v>85</v>
      </c>
      <c r="J411">
        <v>87</v>
      </c>
      <c r="K411">
        <v>9.3273790529999996</v>
      </c>
      <c r="L411">
        <v>84</v>
      </c>
      <c r="M411">
        <v>87</v>
      </c>
      <c r="N411">
        <v>256</v>
      </c>
      <c r="O411">
        <v>85.333333330000002</v>
      </c>
      <c r="P411">
        <v>86</v>
      </c>
      <c r="Q411">
        <v>3</v>
      </c>
      <c r="R411">
        <v>9.24</v>
      </c>
      <c r="S411" t="s">
        <v>38</v>
      </c>
      <c r="T411" t="s">
        <v>26</v>
      </c>
      <c r="U411">
        <v>18</v>
      </c>
    </row>
    <row r="412" spans="1:21" x14ac:dyDescent="0.25">
      <c r="A412" t="s">
        <v>20</v>
      </c>
      <c r="B412" t="s">
        <v>39</v>
      </c>
      <c r="C412" t="s">
        <v>32</v>
      </c>
      <c r="D412" t="s">
        <v>23</v>
      </c>
      <c r="E412" t="s">
        <v>29</v>
      </c>
      <c r="F412">
        <v>70</v>
      </c>
      <c r="G412">
        <v>71</v>
      </c>
      <c r="H412">
        <v>74</v>
      </c>
      <c r="J412">
        <v>70</v>
      </c>
      <c r="K412">
        <v>8.3666002650000006</v>
      </c>
      <c r="L412">
        <v>70</v>
      </c>
      <c r="M412">
        <v>74</v>
      </c>
      <c r="N412">
        <v>215</v>
      </c>
      <c r="O412">
        <v>71.666666669999998</v>
      </c>
      <c r="P412">
        <v>70.5</v>
      </c>
      <c r="Q412">
        <v>1</v>
      </c>
      <c r="R412">
        <v>8.4700000000000006</v>
      </c>
      <c r="S412" t="s">
        <v>33</v>
      </c>
      <c r="T412" t="s">
        <v>26</v>
      </c>
      <c r="U412">
        <v>15</v>
      </c>
    </row>
    <row r="413" spans="1:21" x14ac:dyDescent="0.25">
      <c r="A413" t="s">
        <v>34</v>
      </c>
      <c r="B413" t="s">
        <v>64</v>
      </c>
      <c r="C413" t="s">
        <v>28</v>
      </c>
      <c r="D413" t="s">
        <v>23</v>
      </c>
      <c r="E413" t="s">
        <v>29</v>
      </c>
      <c r="F413">
        <v>84</v>
      </c>
      <c r="G413">
        <v>83</v>
      </c>
      <c r="H413">
        <v>78</v>
      </c>
      <c r="J413">
        <v>84</v>
      </c>
      <c r="K413">
        <v>9.1651513900000001</v>
      </c>
      <c r="L413">
        <v>78</v>
      </c>
      <c r="M413">
        <v>84</v>
      </c>
      <c r="N413">
        <v>245</v>
      </c>
      <c r="O413">
        <v>81.666666669999998</v>
      </c>
      <c r="P413">
        <v>83.5</v>
      </c>
      <c r="Q413">
        <v>4</v>
      </c>
      <c r="R413">
        <v>9.0399999999999991</v>
      </c>
      <c r="S413" t="s">
        <v>30</v>
      </c>
      <c r="T413" t="s">
        <v>31</v>
      </c>
      <c r="U413">
        <v>12</v>
      </c>
    </row>
    <row r="414" spans="1:21" x14ac:dyDescent="0.25">
      <c r="A414" t="s">
        <v>34</v>
      </c>
      <c r="B414" t="s">
        <v>39</v>
      </c>
      <c r="C414" t="s">
        <v>36</v>
      </c>
      <c r="D414" t="s">
        <v>23</v>
      </c>
      <c r="E414" t="s">
        <v>24</v>
      </c>
      <c r="F414">
        <v>71</v>
      </c>
      <c r="G414">
        <v>66</v>
      </c>
      <c r="H414">
        <v>60</v>
      </c>
      <c r="J414">
        <v>71</v>
      </c>
      <c r="K414">
        <v>8.4261497730000006</v>
      </c>
      <c r="L414">
        <v>60</v>
      </c>
      <c r="M414">
        <v>71</v>
      </c>
      <c r="N414">
        <v>197</v>
      </c>
      <c r="O414">
        <v>65.666666669999998</v>
      </c>
      <c r="P414">
        <v>68.5</v>
      </c>
      <c r="Q414">
        <v>4</v>
      </c>
      <c r="R414">
        <v>8.1</v>
      </c>
      <c r="S414" t="s">
        <v>38</v>
      </c>
      <c r="T414" t="s">
        <v>26</v>
      </c>
      <c r="U414">
        <v>18</v>
      </c>
    </row>
    <row r="415" spans="1:21" x14ac:dyDescent="0.25">
      <c r="A415" t="s">
        <v>34</v>
      </c>
      <c r="B415" t="s">
        <v>21</v>
      </c>
      <c r="C415" t="s">
        <v>50</v>
      </c>
      <c r="D415" t="s">
        <v>23</v>
      </c>
      <c r="E415" t="s">
        <v>29</v>
      </c>
      <c r="F415">
        <v>63</v>
      </c>
      <c r="G415">
        <v>67</v>
      </c>
      <c r="H415">
        <v>67</v>
      </c>
      <c r="J415">
        <v>63</v>
      </c>
      <c r="K415">
        <v>7.937253933</v>
      </c>
      <c r="L415">
        <v>63</v>
      </c>
      <c r="M415">
        <v>67</v>
      </c>
      <c r="N415">
        <v>197</v>
      </c>
      <c r="O415">
        <v>65.666666669999998</v>
      </c>
      <c r="P415">
        <v>65</v>
      </c>
      <c r="Q415">
        <v>1</v>
      </c>
      <c r="R415">
        <v>8.1</v>
      </c>
      <c r="S415" t="s">
        <v>30</v>
      </c>
      <c r="T415" t="s">
        <v>42</v>
      </c>
      <c r="U415">
        <v>16</v>
      </c>
    </row>
    <row r="416" spans="1:21" x14ac:dyDescent="0.25">
      <c r="A416" t="s">
        <v>20</v>
      </c>
      <c r="B416" t="s">
        <v>27</v>
      </c>
      <c r="C416" t="s">
        <v>22</v>
      </c>
      <c r="D416" t="s">
        <v>37</v>
      </c>
      <c r="E416" t="s">
        <v>29</v>
      </c>
      <c r="F416">
        <v>51</v>
      </c>
      <c r="G416">
        <v>72</v>
      </c>
      <c r="H416">
        <v>79</v>
      </c>
      <c r="J416">
        <v>51</v>
      </c>
      <c r="K416">
        <v>7.1414284290000003</v>
      </c>
      <c r="L416">
        <v>51</v>
      </c>
      <c r="M416">
        <v>79</v>
      </c>
      <c r="N416">
        <v>202</v>
      </c>
      <c r="O416">
        <v>67.333333330000002</v>
      </c>
      <c r="P416">
        <v>61.5</v>
      </c>
      <c r="Q416">
        <v>1</v>
      </c>
      <c r="R416">
        <v>8.2100000000000009</v>
      </c>
      <c r="S416" t="s">
        <v>25</v>
      </c>
      <c r="T416" t="s">
        <v>26</v>
      </c>
      <c r="U416">
        <v>17</v>
      </c>
    </row>
    <row r="417" spans="1:21" x14ac:dyDescent="0.25">
      <c r="A417" t="s">
        <v>34</v>
      </c>
      <c r="B417" t="s">
        <v>64</v>
      </c>
      <c r="C417" t="s">
        <v>40</v>
      </c>
      <c r="D417" t="s">
        <v>23</v>
      </c>
      <c r="E417" t="s">
        <v>24</v>
      </c>
      <c r="F417">
        <v>84</v>
      </c>
      <c r="G417">
        <v>73</v>
      </c>
      <c r="H417">
        <v>69</v>
      </c>
      <c r="J417">
        <v>84</v>
      </c>
      <c r="K417">
        <v>9.1651513900000001</v>
      </c>
      <c r="L417">
        <v>69</v>
      </c>
      <c r="M417">
        <v>84</v>
      </c>
      <c r="N417">
        <v>226</v>
      </c>
      <c r="O417">
        <v>75.333333330000002</v>
      </c>
      <c r="P417">
        <v>78.5</v>
      </c>
      <c r="Q417">
        <v>4</v>
      </c>
      <c r="R417">
        <v>8.68</v>
      </c>
      <c r="S417" t="s">
        <v>41</v>
      </c>
      <c r="T417" t="s">
        <v>42</v>
      </c>
      <c r="U417">
        <v>11</v>
      </c>
    </row>
    <row r="418" spans="1:21" x14ac:dyDescent="0.25">
      <c r="A418" t="s">
        <v>34</v>
      </c>
      <c r="B418" t="s">
        <v>27</v>
      </c>
      <c r="C418" t="s">
        <v>22</v>
      </c>
      <c r="D418" t="s">
        <v>23</v>
      </c>
      <c r="E418" t="s">
        <v>29</v>
      </c>
      <c r="F418">
        <v>71</v>
      </c>
      <c r="G418">
        <v>74</v>
      </c>
      <c r="H418">
        <v>68</v>
      </c>
      <c r="J418">
        <v>71</v>
      </c>
      <c r="K418">
        <v>8.4261497730000006</v>
      </c>
      <c r="L418">
        <v>68</v>
      </c>
      <c r="M418">
        <v>74</v>
      </c>
      <c r="N418">
        <v>213</v>
      </c>
      <c r="O418">
        <v>71</v>
      </c>
      <c r="P418">
        <v>71</v>
      </c>
      <c r="Q418">
        <v>4</v>
      </c>
      <c r="R418">
        <v>8.43</v>
      </c>
      <c r="S418" t="s">
        <v>25</v>
      </c>
      <c r="T418" t="s">
        <v>26</v>
      </c>
      <c r="U418">
        <v>17</v>
      </c>
    </row>
    <row r="419" spans="1:21" x14ac:dyDescent="0.25">
      <c r="A419" t="s">
        <v>34</v>
      </c>
      <c r="B419" t="s">
        <v>27</v>
      </c>
      <c r="C419" t="s">
        <v>36</v>
      </c>
      <c r="D419" t="s">
        <v>23</v>
      </c>
      <c r="E419" t="s">
        <v>24</v>
      </c>
      <c r="F419">
        <v>74</v>
      </c>
      <c r="G419">
        <v>73</v>
      </c>
      <c r="H419">
        <v>67</v>
      </c>
      <c r="J419">
        <v>74</v>
      </c>
      <c r="K419">
        <v>8.6023252669999994</v>
      </c>
      <c r="L419">
        <v>67</v>
      </c>
      <c r="M419">
        <v>74</v>
      </c>
      <c r="N419">
        <v>214</v>
      </c>
      <c r="O419">
        <v>71.333333330000002</v>
      </c>
      <c r="P419">
        <v>73.5</v>
      </c>
      <c r="Q419">
        <v>4</v>
      </c>
      <c r="R419">
        <v>8.4499999999999993</v>
      </c>
      <c r="S419" t="s">
        <v>38</v>
      </c>
      <c r="T419" t="s">
        <v>26</v>
      </c>
      <c r="U419">
        <v>18</v>
      </c>
    </row>
    <row r="420" spans="1:21" x14ac:dyDescent="0.25">
      <c r="A420" t="s">
        <v>34</v>
      </c>
      <c r="B420" t="s">
        <v>39</v>
      </c>
      <c r="C420" t="s">
        <v>28</v>
      </c>
      <c r="D420" t="s">
        <v>23</v>
      </c>
      <c r="E420" t="s">
        <v>24</v>
      </c>
      <c r="F420">
        <v>68</v>
      </c>
      <c r="G420">
        <v>59</v>
      </c>
      <c r="H420">
        <v>62</v>
      </c>
      <c r="J420">
        <v>68</v>
      </c>
      <c r="K420">
        <v>8.2462112510000001</v>
      </c>
      <c r="L420">
        <v>59</v>
      </c>
      <c r="M420">
        <v>68</v>
      </c>
      <c r="N420">
        <v>189</v>
      </c>
      <c r="O420">
        <v>63</v>
      </c>
      <c r="P420">
        <v>65</v>
      </c>
      <c r="Q420">
        <v>3</v>
      </c>
      <c r="R420">
        <v>7.94</v>
      </c>
      <c r="S420" t="s">
        <v>30</v>
      </c>
      <c r="T420" t="s">
        <v>31</v>
      </c>
      <c r="U420">
        <v>12</v>
      </c>
    </row>
    <row r="421" spans="1:21" x14ac:dyDescent="0.25">
      <c r="A421" t="s">
        <v>34</v>
      </c>
      <c r="B421" t="s">
        <v>64</v>
      </c>
      <c r="C421" t="s">
        <v>40</v>
      </c>
      <c r="D421" t="s">
        <v>37</v>
      </c>
      <c r="E421" t="s">
        <v>29</v>
      </c>
      <c r="F421">
        <v>57</v>
      </c>
      <c r="G421">
        <v>56</v>
      </c>
      <c r="H421">
        <v>54</v>
      </c>
      <c r="J421">
        <v>57</v>
      </c>
      <c r="K421">
        <v>7.5498344350000002</v>
      </c>
      <c r="L421">
        <v>54</v>
      </c>
      <c r="M421">
        <v>57</v>
      </c>
      <c r="N421">
        <v>167</v>
      </c>
      <c r="O421">
        <v>55.666666669999998</v>
      </c>
      <c r="P421">
        <v>56.5</v>
      </c>
      <c r="Q421">
        <v>4</v>
      </c>
      <c r="R421">
        <v>7.46</v>
      </c>
      <c r="S421" t="s">
        <v>41</v>
      </c>
      <c r="T421" t="s">
        <v>42</v>
      </c>
      <c r="U421">
        <v>11</v>
      </c>
    </row>
    <row r="422" spans="1:21" x14ac:dyDescent="0.25">
      <c r="A422" t="s">
        <v>20</v>
      </c>
      <c r="B422" t="s">
        <v>27</v>
      </c>
      <c r="C422" t="s">
        <v>36</v>
      </c>
      <c r="D422" t="s">
        <v>37</v>
      </c>
      <c r="E422" t="s">
        <v>29</v>
      </c>
      <c r="F422">
        <v>82</v>
      </c>
      <c r="G422">
        <v>93</v>
      </c>
      <c r="H422">
        <v>93</v>
      </c>
      <c r="J422">
        <v>82</v>
      </c>
      <c r="K422">
        <v>9.0553851380000001</v>
      </c>
      <c r="L422">
        <v>82</v>
      </c>
      <c r="M422">
        <v>93</v>
      </c>
      <c r="N422">
        <v>268</v>
      </c>
      <c r="O422">
        <v>89.333333330000002</v>
      </c>
      <c r="P422">
        <v>87.5</v>
      </c>
      <c r="Q422">
        <v>1</v>
      </c>
      <c r="R422">
        <v>9.4499999999999993</v>
      </c>
      <c r="S422" t="s">
        <v>38</v>
      </c>
      <c r="T422" t="s">
        <v>26</v>
      </c>
      <c r="U422">
        <v>18</v>
      </c>
    </row>
    <row r="423" spans="1:21" x14ac:dyDescent="0.25">
      <c r="A423" t="s">
        <v>20</v>
      </c>
      <c r="B423" t="s">
        <v>39</v>
      </c>
      <c r="C423" t="s">
        <v>40</v>
      </c>
      <c r="D423" t="s">
        <v>23</v>
      </c>
      <c r="E423" t="s">
        <v>29</v>
      </c>
      <c r="F423">
        <v>57</v>
      </c>
      <c r="G423">
        <v>58</v>
      </c>
      <c r="H423">
        <v>64</v>
      </c>
      <c r="J423">
        <v>57</v>
      </c>
      <c r="K423">
        <v>7.5498344350000002</v>
      </c>
      <c r="L423">
        <v>57</v>
      </c>
      <c r="M423">
        <v>64</v>
      </c>
      <c r="N423">
        <v>179</v>
      </c>
      <c r="O423">
        <v>59.666666669999998</v>
      </c>
      <c r="P423">
        <v>57.5</v>
      </c>
      <c r="Q423">
        <v>1</v>
      </c>
      <c r="R423">
        <v>7.72</v>
      </c>
      <c r="S423" t="s">
        <v>41</v>
      </c>
      <c r="T423" t="s">
        <v>42</v>
      </c>
      <c r="U423">
        <v>11</v>
      </c>
    </row>
    <row r="424" spans="1:21" x14ac:dyDescent="0.25">
      <c r="A424" t="s">
        <v>20</v>
      </c>
      <c r="B424" t="s">
        <v>39</v>
      </c>
      <c r="C424" t="s">
        <v>32</v>
      </c>
      <c r="D424" t="s">
        <v>37</v>
      </c>
      <c r="E424" t="s">
        <v>29</v>
      </c>
      <c r="F424">
        <v>47</v>
      </c>
      <c r="G424">
        <v>58</v>
      </c>
      <c r="H424">
        <v>67</v>
      </c>
      <c r="J424">
        <v>47</v>
      </c>
      <c r="K424">
        <v>6.8556546000000003</v>
      </c>
      <c r="L424">
        <v>47</v>
      </c>
      <c r="M424">
        <v>67</v>
      </c>
      <c r="N424">
        <v>172</v>
      </c>
      <c r="O424">
        <v>57.333333330000002</v>
      </c>
      <c r="P424">
        <v>52.5</v>
      </c>
      <c r="Q424">
        <v>1</v>
      </c>
      <c r="R424">
        <v>7.57</v>
      </c>
      <c r="S424" t="s">
        <v>33</v>
      </c>
      <c r="T424" t="s">
        <v>26</v>
      </c>
      <c r="U424">
        <v>15</v>
      </c>
    </row>
    <row r="425" spans="1:21" x14ac:dyDescent="0.25">
      <c r="A425" t="s">
        <v>20</v>
      </c>
      <c r="B425" t="s">
        <v>35</v>
      </c>
      <c r="C425" t="s">
        <v>50</v>
      </c>
      <c r="D425" t="s">
        <v>23</v>
      </c>
      <c r="E425" t="s">
        <v>29</v>
      </c>
      <c r="F425">
        <v>59</v>
      </c>
      <c r="G425">
        <v>85</v>
      </c>
      <c r="H425">
        <v>80</v>
      </c>
      <c r="J425">
        <v>59</v>
      </c>
      <c r="K425">
        <v>7.6811457479999996</v>
      </c>
      <c r="L425">
        <v>59</v>
      </c>
      <c r="M425">
        <v>85</v>
      </c>
      <c r="N425">
        <v>224</v>
      </c>
      <c r="O425">
        <v>74.666666669999998</v>
      </c>
      <c r="P425">
        <v>69.5</v>
      </c>
      <c r="Q425">
        <v>2</v>
      </c>
      <c r="R425">
        <v>8.64</v>
      </c>
      <c r="S425" t="s">
        <v>30</v>
      </c>
      <c r="T425" t="s">
        <v>42</v>
      </c>
      <c r="U425">
        <v>16</v>
      </c>
    </row>
    <row r="426" spans="1:21" x14ac:dyDescent="0.25">
      <c r="A426" t="s">
        <v>34</v>
      </c>
      <c r="B426" t="s">
        <v>21</v>
      </c>
      <c r="C426" t="s">
        <v>28</v>
      </c>
      <c r="D426" t="s">
        <v>37</v>
      </c>
      <c r="E426" t="s">
        <v>24</v>
      </c>
      <c r="F426">
        <v>41</v>
      </c>
      <c r="G426">
        <v>39</v>
      </c>
      <c r="H426">
        <v>34</v>
      </c>
      <c r="J426">
        <v>41</v>
      </c>
      <c r="K426">
        <v>6.4031242370000001</v>
      </c>
      <c r="L426">
        <v>34</v>
      </c>
      <c r="M426">
        <v>41</v>
      </c>
      <c r="N426">
        <v>114</v>
      </c>
      <c r="O426">
        <v>38</v>
      </c>
      <c r="P426">
        <v>40</v>
      </c>
      <c r="Q426">
        <v>4</v>
      </c>
      <c r="R426">
        <v>6.16</v>
      </c>
      <c r="S426" t="s">
        <v>30</v>
      </c>
      <c r="T426" t="s">
        <v>31</v>
      </c>
      <c r="U426">
        <v>12</v>
      </c>
    </row>
    <row r="427" spans="1:21" x14ac:dyDescent="0.25">
      <c r="A427" t="s">
        <v>20</v>
      </c>
      <c r="B427" t="s">
        <v>27</v>
      </c>
      <c r="C427" t="s">
        <v>28</v>
      </c>
      <c r="D427" t="s">
        <v>37</v>
      </c>
      <c r="E427" t="s">
        <v>24</v>
      </c>
      <c r="F427">
        <v>62</v>
      </c>
      <c r="G427">
        <v>67</v>
      </c>
      <c r="H427">
        <v>62</v>
      </c>
      <c r="J427">
        <v>62</v>
      </c>
      <c r="K427">
        <v>7.8740078740000001</v>
      </c>
      <c r="L427">
        <v>62</v>
      </c>
      <c r="M427">
        <v>67</v>
      </c>
      <c r="N427">
        <v>191</v>
      </c>
      <c r="O427">
        <v>63.666666669999998</v>
      </c>
      <c r="P427">
        <v>62</v>
      </c>
      <c r="Q427">
        <v>2</v>
      </c>
      <c r="R427">
        <v>7.98</v>
      </c>
      <c r="S427" t="s">
        <v>30</v>
      </c>
      <c r="T427" t="s">
        <v>31</v>
      </c>
      <c r="U427">
        <v>12</v>
      </c>
    </row>
    <row r="428" spans="1:21" x14ac:dyDescent="0.25">
      <c r="A428" t="s">
        <v>34</v>
      </c>
      <c r="B428" t="s">
        <v>27</v>
      </c>
      <c r="C428" t="s">
        <v>22</v>
      </c>
      <c r="D428" t="s">
        <v>23</v>
      </c>
      <c r="E428" t="s">
        <v>24</v>
      </c>
      <c r="F428">
        <v>86</v>
      </c>
      <c r="G428">
        <v>83</v>
      </c>
      <c r="H428">
        <v>86</v>
      </c>
      <c r="J428">
        <v>86</v>
      </c>
      <c r="K428">
        <v>9.2736184949999991</v>
      </c>
      <c r="L428">
        <v>83</v>
      </c>
      <c r="M428">
        <v>86</v>
      </c>
      <c r="N428">
        <v>255</v>
      </c>
      <c r="O428">
        <v>85</v>
      </c>
      <c r="P428">
        <v>86</v>
      </c>
      <c r="Q428">
        <v>1</v>
      </c>
      <c r="R428">
        <v>9.2200000000000006</v>
      </c>
      <c r="S428" t="s">
        <v>25</v>
      </c>
      <c r="T428" t="s">
        <v>26</v>
      </c>
      <c r="U428">
        <v>17</v>
      </c>
    </row>
    <row r="429" spans="1:21" x14ac:dyDescent="0.25">
      <c r="A429" t="s">
        <v>34</v>
      </c>
      <c r="B429" t="s">
        <v>27</v>
      </c>
      <c r="C429" t="s">
        <v>50</v>
      </c>
      <c r="D429" t="s">
        <v>37</v>
      </c>
      <c r="E429" t="s">
        <v>24</v>
      </c>
      <c r="F429">
        <v>69</v>
      </c>
      <c r="G429">
        <v>71</v>
      </c>
      <c r="H429">
        <v>65</v>
      </c>
      <c r="J429">
        <v>69</v>
      </c>
      <c r="K429">
        <v>8.3066238630000004</v>
      </c>
      <c r="L429">
        <v>65</v>
      </c>
      <c r="M429">
        <v>71</v>
      </c>
      <c r="N429">
        <v>205</v>
      </c>
      <c r="O429">
        <v>68.333333330000002</v>
      </c>
      <c r="P429">
        <v>69</v>
      </c>
      <c r="Q429">
        <v>4</v>
      </c>
      <c r="R429">
        <v>8.27</v>
      </c>
      <c r="S429" t="s">
        <v>30</v>
      </c>
      <c r="T429" t="s">
        <v>42</v>
      </c>
      <c r="U429">
        <v>16</v>
      </c>
    </row>
    <row r="430" spans="1:21" x14ac:dyDescent="0.25">
      <c r="A430" t="s">
        <v>34</v>
      </c>
      <c r="B430" t="s">
        <v>35</v>
      </c>
      <c r="C430" t="s">
        <v>50</v>
      </c>
      <c r="D430" t="s">
        <v>37</v>
      </c>
      <c r="E430" t="s">
        <v>24</v>
      </c>
      <c r="F430">
        <v>65</v>
      </c>
      <c r="G430">
        <v>59</v>
      </c>
      <c r="H430">
        <v>53</v>
      </c>
      <c r="J430">
        <v>65</v>
      </c>
      <c r="K430">
        <v>8.0622577480000004</v>
      </c>
      <c r="L430">
        <v>53</v>
      </c>
      <c r="M430">
        <v>65</v>
      </c>
      <c r="N430">
        <v>177</v>
      </c>
      <c r="O430">
        <v>59</v>
      </c>
      <c r="P430">
        <v>62</v>
      </c>
      <c r="Q430">
        <v>4</v>
      </c>
      <c r="R430">
        <v>7.68</v>
      </c>
      <c r="S430" t="s">
        <v>30</v>
      </c>
      <c r="T430" t="s">
        <v>42</v>
      </c>
      <c r="U430">
        <v>16</v>
      </c>
    </row>
    <row r="431" spans="1:21" x14ac:dyDescent="0.25">
      <c r="A431" t="s">
        <v>34</v>
      </c>
      <c r="B431" t="s">
        <v>27</v>
      </c>
      <c r="C431" t="s">
        <v>50</v>
      </c>
      <c r="D431" t="s">
        <v>37</v>
      </c>
      <c r="E431" t="s">
        <v>24</v>
      </c>
      <c r="F431">
        <v>68</v>
      </c>
      <c r="G431">
        <v>63</v>
      </c>
      <c r="H431">
        <v>54</v>
      </c>
      <c r="J431">
        <v>68</v>
      </c>
      <c r="K431">
        <v>8.2462112510000001</v>
      </c>
      <c r="L431">
        <v>54</v>
      </c>
      <c r="M431">
        <v>68</v>
      </c>
      <c r="N431">
        <v>185</v>
      </c>
      <c r="O431">
        <v>61.666666669999998</v>
      </c>
      <c r="P431">
        <v>65.5</v>
      </c>
      <c r="Q431">
        <v>4</v>
      </c>
      <c r="R431">
        <v>7.85</v>
      </c>
      <c r="S431" t="s">
        <v>30</v>
      </c>
      <c r="T431" t="s">
        <v>42</v>
      </c>
      <c r="U431">
        <v>16</v>
      </c>
    </row>
    <row r="432" spans="1:21" x14ac:dyDescent="0.25">
      <c r="A432" t="s">
        <v>34</v>
      </c>
      <c r="B432" t="s">
        <v>27</v>
      </c>
      <c r="C432" t="s">
        <v>36</v>
      </c>
      <c r="D432" t="s">
        <v>37</v>
      </c>
      <c r="E432" t="s">
        <v>24</v>
      </c>
      <c r="F432">
        <v>64</v>
      </c>
      <c r="G432">
        <v>66</v>
      </c>
      <c r="H432">
        <v>59</v>
      </c>
      <c r="J432">
        <v>64</v>
      </c>
      <c r="K432">
        <v>8</v>
      </c>
      <c r="L432">
        <v>59</v>
      </c>
      <c r="M432">
        <v>66</v>
      </c>
      <c r="N432">
        <v>189</v>
      </c>
      <c r="O432">
        <v>63</v>
      </c>
      <c r="P432">
        <v>64</v>
      </c>
      <c r="Q432">
        <v>4</v>
      </c>
      <c r="R432">
        <v>7.94</v>
      </c>
      <c r="S432" t="s">
        <v>38</v>
      </c>
      <c r="T432" t="s">
        <v>26</v>
      </c>
      <c r="U432">
        <v>18</v>
      </c>
    </row>
    <row r="433" spans="1:21" x14ac:dyDescent="0.25">
      <c r="A433" t="s">
        <v>20</v>
      </c>
      <c r="B433" t="s">
        <v>27</v>
      </c>
      <c r="C433" t="s">
        <v>40</v>
      </c>
      <c r="D433" t="s">
        <v>23</v>
      </c>
      <c r="E433" t="s">
        <v>24</v>
      </c>
      <c r="F433">
        <v>61</v>
      </c>
      <c r="G433">
        <v>72</v>
      </c>
      <c r="H433">
        <v>70</v>
      </c>
      <c r="J433">
        <v>61</v>
      </c>
      <c r="K433">
        <v>7.8102496759999998</v>
      </c>
      <c r="L433">
        <v>61</v>
      </c>
      <c r="M433">
        <v>72</v>
      </c>
      <c r="N433">
        <v>203</v>
      </c>
      <c r="O433">
        <v>67.666666669999998</v>
      </c>
      <c r="P433">
        <v>65.5</v>
      </c>
      <c r="Q433">
        <v>2</v>
      </c>
      <c r="R433">
        <v>8.23</v>
      </c>
      <c r="S433" t="s">
        <v>41</v>
      </c>
      <c r="T433" t="s">
        <v>42</v>
      </c>
      <c r="U433">
        <v>11</v>
      </c>
    </row>
    <row r="434" spans="1:21" x14ac:dyDescent="0.25">
      <c r="A434" t="s">
        <v>34</v>
      </c>
      <c r="B434" t="s">
        <v>27</v>
      </c>
      <c r="C434" t="s">
        <v>40</v>
      </c>
      <c r="D434" t="s">
        <v>23</v>
      </c>
      <c r="E434" t="s">
        <v>24</v>
      </c>
      <c r="F434">
        <v>61</v>
      </c>
      <c r="G434">
        <v>56</v>
      </c>
      <c r="H434">
        <v>55</v>
      </c>
      <c r="J434">
        <v>61</v>
      </c>
      <c r="K434">
        <v>7.8102496759999998</v>
      </c>
      <c r="L434">
        <v>55</v>
      </c>
      <c r="M434">
        <v>61</v>
      </c>
      <c r="N434">
        <v>172</v>
      </c>
      <c r="O434">
        <v>57.333333330000002</v>
      </c>
      <c r="P434">
        <v>58.5</v>
      </c>
      <c r="Q434">
        <v>4</v>
      </c>
      <c r="R434">
        <v>7.57</v>
      </c>
      <c r="S434" t="s">
        <v>41</v>
      </c>
      <c r="T434" t="s">
        <v>42</v>
      </c>
      <c r="U434">
        <v>11</v>
      </c>
    </row>
    <row r="435" spans="1:21" x14ac:dyDescent="0.25">
      <c r="A435" t="s">
        <v>20</v>
      </c>
      <c r="B435" t="s">
        <v>35</v>
      </c>
      <c r="C435" t="s">
        <v>50</v>
      </c>
      <c r="D435" t="s">
        <v>37</v>
      </c>
      <c r="E435" t="s">
        <v>24</v>
      </c>
      <c r="F435">
        <v>47</v>
      </c>
      <c r="G435">
        <v>59</v>
      </c>
      <c r="H435">
        <v>50</v>
      </c>
      <c r="J435">
        <v>47</v>
      </c>
      <c r="K435">
        <v>6.8556546000000003</v>
      </c>
      <c r="L435">
        <v>47</v>
      </c>
      <c r="M435">
        <v>59</v>
      </c>
      <c r="N435">
        <v>156</v>
      </c>
      <c r="O435">
        <v>52</v>
      </c>
      <c r="P435">
        <v>48.5</v>
      </c>
      <c r="Q435">
        <v>2</v>
      </c>
      <c r="R435">
        <v>7.21</v>
      </c>
      <c r="S435" t="s">
        <v>30</v>
      </c>
      <c r="T435" t="s">
        <v>42</v>
      </c>
      <c r="U435">
        <v>16</v>
      </c>
    </row>
    <row r="436" spans="1:21" x14ac:dyDescent="0.25">
      <c r="A436" t="s">
        <v>34</v>
      </c>
      <c r="B436" t="s">
        <v>27</v>
      </c>
      <c r="C436" t="s">
        <v>50</v>
      </c>
      <c r="D436" t="s">
        <v>23</v>
      </c>
      <c r="E436" t="s">
        <v>24</v>
      </c>
      <c r="F436">
        <v>73</v>
      </c>
      <c r="G436">
        <v>66</v>
      </c>
      <c r="H436">
        <v>66</v>
      </c>
      <c r="J436">
        <v>73</v>
      </c>
      <c r="K436">
        <v>8.5440037449999995</v>
      </c>
      <c r="L436">
        <v>66</v>
      </c>
      <c r="M436">
        <v>73</v>
      </c>
      <c r="N436">
        <v>205</v>
      </c>
      <c r="O436">
        <v>68.333333330000002</v>
      </c>
      <c r="P436">
        <v>69.5</v>
      </c>
      <c r="Q436">
        <v>3</v>
      </c>
      <c r="R436">
        <v>8.27</v>
      </c>
      <c r="S436" t="s">
        <v>30</v>
      </c>
      <c r="T436" t="s">
        <v>42</v>
      </c>
      <c r="U436">
        <v>16</v>
      </c>
    </row>
    <row r="437" spans="1:21" x14ac:dyDescent="0.25">
      <c r="A437" t="s">
        <v>34</v>
      </c>
      <c r="B437" t="s">
        <v>27</v>
      </c>
      <c r="C437" t="s">
        <v>28</v>
      </c>
      <c r="D437" t="s">
        <v>37</v>
      </c>
      <c r="E437" t="s">
        <v>29</v>
      </c>
      <c r="F437">
        <v>50</v>
      </c>
      <c r="G437">
        <v>48</v>
      </c>
      <c r="H437">
        <v>53</v>
      </c>
      <c r="J437">
        <v>50</v>
      </c>
      <c r="K437">
        <v>7.0710678119999999</v>
      </c>
      <c r="L437">
        <v>48</v>
      </c>
      <c r="M437">
        <v>53</v>
      </c>
      <c r="N437">
        <v>151</v>
      </c>
      <c r="O437">
        <v>50.333333330000002</v>
      </c>
      <c r="P437">
        <v>50</v>
      </c>
      <c r="Q437">
        <v>1</v>
      </c>
      <c r="R437">
        <v>7.09</v>
      </c>
      <c r="S437" t="s">
        <v>30</v>
      </c>
      <c r="T437" t="s">
        <v>31</v>
      </c>
      <c r="U437">
        <v>12</v>
      </c>
    </row>
    <row r="438" spans="1:21" x14ac:dyDescent="0.25">
      <c r="A438" t="s">
        <v>34</v>
      </c>
      <c r="B438" t="s">
        <v>39</v>
      </c>
      <c r="C438" t="s">
        <v>36</v>
      </c>
      <c r="D438" t="s">
        <v>23</v>
      </c>
      <c r="E438" t="s">
        <v>24</v>
      </c>
      <c r="F438">
        <v>75</v>
      </c>
      <c r="G438">
        <v>68</v>
      </c>
      <c r="H438">
        <v>64</v>
      </c>
      <c r="J438">
        <v>75</v>
      </c>
      <c r="K438">
        <v>8.6602540379999997</v>
      </c>
      <c r="L438">
        <v>64</v>
      </c>
      <c r="M438">
        <v>75</v>
      </c>
      <c r="N438">
        <v>207</v>
      </c>
      <c r="O438">
        <v>69</v>
      </c>
      <c r="P438">
        <v>71.5</v>
      </c>
      <c r="Q438">
        <v>4</v>
      </c>
      <c r="R438">
        <v>8.31</v>
      </c>
      <c r="S438" t="s">
        <v>38</v>
      </c>
      <c r="T438" t="s">
        <v>26</v>
      </c>
      <c r="U438">
        <v>18</v>
      </c>
    </row>
    <row r="439" spans="1:21" x14ac:dyDescent="0.25">
      <c r="A439" t="s">
        <v>34</v>
      </c>
      <c r="B439" t="s">
        <v>39</v>
      </c>
      <c r="C439" t="s">
        <v>36</v>
      </c>
      <c r="D439" t="s">
        <v>37</v>
      </c>
      <c r="E439" t="s">
        <v>24</v>
      </c>
      <c r="F439">
        <v>75</v>
      </c>
      <c r="G439">
        <v>66</v>
      </c>
      <c r="H439">
        <v>73</v>
      </c>
      <c r="J439">
        <v>75</v>
      </c>
      <c r="K439">
        <v>8.6602540379999997</v>
      </c>
      <c r="L439">
        <v>66</v>
      </c>
      <c r="M439">
        <v>75</v>
      </c>
      <c r="N439">
        <v>214</v>
      </c>
      <c r="O439">
        <v>71.333333330000002</v>
      </c>
      <c r="P439">
        <v>74</v>
      </c>
      <c r="Q439">
        <v>3</v>
      </c>
      <c r="R439">
        <v>8.4499999999999993</v>
      </c>
      <c r="S439" t="s">
        <v>38</v>
      </c>
      <c r="T439" t="s">
        <v>26</v>
      </c>
      <c r="U439">
        <v>18</v>
      </c>
    </row>
    <row r="440" spans="1:21" x14ac:dyDescent="0.25">
      <c r="A440" t="s">
        <v>34</v>
      </c>
      <c r="B440" t="s">
        <v>27</v>
      </c>
      <c r="C440" t="s">
        <v>40</v>
      </c>
      <c r="D440" t="s">
        <v>23</v>
      </c>
      <c r="E440" t="s">
        <v>24</v>
      </c>
      <c r="F440">
        <v>70</v>
      </c>
      <c r="G440">
        <v>56</v>
      </c>
      <c r="H440">
        <v>51</v>
      </c>
      <c r="J440">
        <v>70</v>
      </c>
      <c r="K440">
        <v>8.3666002650000006</v>
      </c>
      <c r="L440">
        <v>51</v>
      </c>
      <c r="M440">
        <v>70</v>
      </c>
      <c r="N440">
        <v>177</v>
      </c>
      <c r="O440">
        <v>59</v>
      </c>
      <c r="P440">
        <v>63</v>
      </c>
      <c r="Q440">
        <v>4</v>
      </c>
      <c r="R440">
        <v>7.68</v>
      </c>
      <c r="S440" t="s">
        <v>41</v>
      </c>
      <c r="T440" t="s">
        <v>42</v>
      </c>
      <c r="U440">
        <v>11</v>
      </c>
    </row>
    <row r="441" spans="1:21" x14ac:dyDescent="0.25">
      <c r="A441" t="s">
        <v>34</v>
      </c>
      <c r="B441" t="s">
        <v>39</v>
      </c>
      <c r="C441" t="s">
        <v>50</v>
      </c>
      <c r="D441" t="s">
        <v>23</v>
      </c>
      <c r="E441" t="s">
        <v>29</v>
      </c>
      <c r="F441">
        <v>89</v>
      </c>
      <c r="G441">
        <v>88</v>
      </c>
      <c r="H441">
        <v>82</v>
      </c>
      <c r="J441">
        <v>89</v>
      </c>
      <c r="K441">
        <v>9.4339811319999995</v>
      </c>
      <c r="L441">
        <v>82</v>
      </c>
      <c r="M441">
        <v>89</v>
      </c>
      <c r="N441">
        <v>259</v>
      </c>
      <c r="O441">
        <v>86.333333330000002</v>
      </c>
      <c r="P441">
        <v>88.5</v>
      </c>
      <c r="Q441">
        <v>4</v>
      </c>
      <c r="R441">
        <v>9.2899999999999991</v>
      </c>
      <c r="S441" t="s">
        <v>30</v>
      </c>
      <c r="T441" t="s">
        <v>42</v>
      </c>
      <c r="U441">
        <v>16</v>
      </c>
    </row>
    <row r="442" spans="1:21" x14ac:dyDescent="0.25">
      <c r="A442" t="s">
        <v>20</v>
      </c>
      <c r="B442" t="s">
        <v>27</v>
      </c>
      <c r="C442" t="s">
        <v>28</v>
      </c>
      <c r="D442" t="s">
        <v>23</v>
      </c>
      <c r="E442" t="s">
        <v>29</v>
      </c>
      <c r="F442">
        <v>67</v>
      </c>
      <c r="G442">
        <v>81</v>
      </c>
      <c r="H442">
        <v>79</v>
      </c>
      <c r="J442">
        <v>67</v>
      </c>
      <c r="K442">
        <v>8.1853527719999999</v>
      </c>
      <c r="L442">
        <v>67</v>
      </c>
      <c r="M442">
        <v>81</v>
      </c>
      <c r="N442">
        <v>227</v>
      </c>
      <c r="O442">
        <v>75.666666669999998</v>
      </c>
      <c r="P442">
        <v>73</v>
      </c>
      <c r="Q442">
        <v>2</v>
      </c>
      <c r="R442">
        <v>8.6999999999999993</v>
      </c>
      <c r="S442" t="s">
        <v>30</v>
      </c>
      <c r="T442" t="s">
        <v>31</v>
      </c>
      <c r="U442">
        <v>12</v>
      </c>
    </row>
    <row r="443" spans="1:21" x14ac:dyDescent="0.25">
      <c r="A443" t="s">
        <v>20</v>
      </c>
      <c r="B443" t="s">
        <v>39</v>
      </c>
      <c r="C443" t="s">
        <v>40</v>
      </c>
      <c r="D443" t="s">
        <v>23</v>
      </c>
      <c r="E443" t="s">
        <v>24</v>
      </c>
      <c r="F443">
        <v>78</v>
      </c>
      <c r="G443">
        <v>81</v>
      </c>
      <c r="H443">
        <v>80</v>
      </c>
      <c r="J443">
        <v>78</v>
      </c>
      <c r="K443">
        <v>8.8317608659999998</v>
      </c>
      <c r="L443">
        <v>78</v>
      </c>
      <c r="M443">
        <v>81</v>
      </c>
      <c r="N443">
        <v>239</v>
      </c>
      <c r="O443">
        <v>79.666666669999998</v>
      </c>
      <c r="P443">
        <v>79</v>
      </c>
      <c r="Q443">
        <v>2</v>
      </c>
      <c r="R443">
        <v>8.93</v>
      </c>
      <c r="S443" t="s">
        <v>41</v>
      </c>
      <c r="T443" t="s">
        <v>42</v>
      </c>
      <c r="U443">
        <v>11</v>
      </c>
    </row>
    <row r="444" spans="1:21" x14ac:dyDescent="0.25">
      <c r="A444" t="s">
        <v>20</v>
      </c>
      <c r="B444" t="s">
        <v>35</v>
      </c>
      <c r="C444" t="s">
        <v>50</v>
      </c>
      <c r="D444" t="s">
        <v>37</v>
      </c>
      <c r="E444" t="s">
        <v>24</v>
      </c>
      <c r="F444">
        <v>59</v>
      </c>
      <c r="G444">
        <v>73</v>
      </c>
      <c r="H444">
        <v>69</v>
      </c>
      <c r="J444">
        <v>59</v>
      </c>
      <c r="K444">
        <v>7.6811457479999996</v>
      </c>
      <c r="L444">
        <v>59</v>
      </c>
      <c r="M444">
        <v>73</v>
      </c>
      <c r="N444">
        <v>201</v>
      </c>
      <c r="O444">
        <v>67</v>
      </c>
      <c r="P444">
        <v>64</v>
      </c>
      <c r="Q444">
        <v>2</v>
      </c>
      <c r="R444">
        <v>8.19</v>
      </c>
      <c r="S444" t="s">
        <v>30</v>
      </c>
      <c r="T444" t="s">
        <v>42</v>
      </c>
      <c r="U444">
        <v>16</v>
      </c>
    </row>
    <row r="445" spans="1:21" x14ac:dyDescent="0.25">
      <c r="A445" t="s">
        <v>20</v>
      </c>
      <c r="B445" t="s">
        <v>21</v>
      </c>
      <c r="C445" t="s">
        <v>36</v>
      </c>
      <c r="D445" t="s">
        <v>23</v>
      </c>
      <c r="E445" t="s">
        <v>24</v>
      </c>
      <c r="F445">
        <v>73</v>
      </c>
      <c r="G445">
        <v>83</v>
      </c>
      <c r="H445">
        <v>76</v>
      </c>
      <c r="J445">
        <v>73</v>
      </c>
      <c r="K445">
        <v>8.5440037449999995</v>
      </c>
      <c r="L445">
        <v>73</v>
      </c>
      <c r="M445">
        <v>83</v>
      </c>
      <c r="N445">
        <v>232</v>
      </c>
      <c r="O445">
        <v>77.333333330000002</v>
      </c>
      <c r="P445">
        <v>74.5</v>
      </c>
      <c r="Q445">
        <v>2</v>
      </c>
      <c r="R445">
        <v>8.7899999999999991</v>
      </c>
      <c r="S445" t="s">
        <v>38</v>
      </c>
      <c r="T445" t="s">
        <v>26</v>
      </c>
      <c r="U445">
        <v>18</v>
      </c>
    </row>
    <row r="446" spans="1:21" x14ac:dyDescent="0.25">
      <c r="A446" t="s">
        <v>34</v>
      </c>
      <c r="B446" t="s">
        <v>35</v>
      </c>
      <c r="C446" t="s">
        <v>50</v>
      </c>
      <c r="D446" t="s">
        <v>37</v>
      </c>
      <c r="E446" t="s">
        <v>24</v>
      </c>
      <c r="F446">
        <v>79</v>
      </c>
      <c r="G446">
        <v>82</v>
      </c>
      <c r="H446">
        <v>73</v>
      </c>
      <c r="J446">
        <v>79</v>
      </c>
      <c r="K446">
        <v>8.8881944169999993</v>
      </c>
      <c r="L446">
        <v>73</v>
      </c>
      <c r="M446">
        <v>82</v>
      </c>
      <c r="N446">
        <v>234</v>
      </c>
      <c r="O446">
        <v>78</v>
      </c>
      <c r="P446">
        <v>79</v>
      </c>
      <c r="Q446">
        <v>4</v>
      </c>
      <c r="R446">
        <v>8.83</v>
      </c>
      <c r="S446" t="s">
        <v>30</v>
      </c>
      <c r="T446" t="s">
        <v>42</v>
      </c>
      <c r="U446">
        <v>16</v>
      </c>
    </row>
    <row r="447" spans="1:21" x14ac:dyDescent="0.25">
      <c r="A447" t="s">
        <v>20</v>
      </c>
      <c r="B447" t="s">
        <v>27</v>
      </c>
      <c r="C447" t="s">
        <v>50</v>
      </c>
      <c r="D447" t="s">
        <v>23</v>
      </c>
      <c r="E447" t="s">
        <v>29</v>
      </c>
      <c r="F447">
        <v>67</v>
      </c>
      <c r="G447">
        <v>74</v>
      </c>
      <c r="H447">
        <v>77</v>
      </c>
      <c r="J447">
        <v>67</v>
      </c>
      <c r="K447">
        <v>8.1853527719999999</v>
      </c>
      <c r="L447">
        <v>67</v>
      </c>
      <c r="M447">
        <v>77</v>
      </c>
      <c r="N447">
        <v>218</v>
      </c>
      <c r="O447">
        <v>72.666666669999998</v>
      </c>
      <c r="P447">
        <v>70.5</v>
      </c>
      <c r="Q447">
        <v>1</v>
      </c>
      <c r="R447">
        <v>8.52</v>
      </c>
      <c r="S447" t="s">
        <v>30</v>
      </c>
      <c r="T447" t="s">
        <v>42</v>
      </c>
      <c r="U447">
        <v>16</v>
      </c>
    </row>
    <row r="448" spans="1:21" x14ac:dyDescent="0.25">
      <c r="A448" t="s">
        <v>34</v>
      </c>
      <c r="B448" t="s">
        <v>39</v>
      </c>
      <c r="C448" t="s">
        <v>28</v>
      </c>
      <c r="D448" t="s">
        <v>37</v>
      </c>
      <c r="E448" t="s">
        <v>24</v>
      </c>
      <c r="F448">
        <v>69</v>
      </c>
      <c r="G448">
        <v>66</v>
      </c>
      <c r="H448">
        <v>60</v>
      </c>
      <c r="J448">
        <v>69</v>
      </c>
      <c r="K448">
        <v>8.3066238630000004</v>
      </c>
      <c r="L448">
        <v>60</v>
      </c>
      <c r="M448">
        <v>69</v>
      </c>
      <c r="N448">
        <v>195</v>
      </c>
      <c r="O448">
        <v>65</v>
      </c>
      <c r="P448">
        <v>67.5</v>
      </c>
      <c r="Q448">
        <v>4</v>
      </c>
      <c r="R448">
        <v>8.06</v>
      </c>
      <c r="S448" t="s">
        <v>30</v>
      </c>
      <c r="T448" t="s">
        <v>31</v>
      </c>
      <c r="U448">
        <v>12</v>
      </c>
    </row>
    <row r="449" spans="1:21" x14ac:dyDescent="0.25">
      <c r="A449" t="s">
        <v>34</v>
      </c>
      <c r="B449" t="s">
        <v>27</v>
      </c>
      <c r="C449" t="s">
        <v>40</v>
      </c>
      <c r="D449" t="s">
        <v>23</v>
      </c>
      <c r="E449" t="s">
        <v>29</v>
      </c>
      <c r="F449">
        <v>86</v>
      </c>
      <c r="G449">
        <v>81</v>
      </c>
      <c r="H449">
        <v>80</v>
      </c>
      <c r="J449">
        <v>86</v>
      </c>
      <c r="K449">
        <v>9.2736184949999991</v>
      </c>
      <c r="L449">
        <v>80</v>
      </c>
      <c r="M449">
        <v>86</v>
      </c>
      <c r="N449">
        <v>247</v>
      </c>
      <c r="O449">
        <v>82.333333330000002</v>
      </c>
      <c r="P449">
        <v>83.5</v>
      </c>
      <c r="Q449">
        <v>4</v>
      </c>
      <c r="R449">
        <v>9.07</v>
      </c>
      <c r="S449" t="s">
        <v>41</v>
      </c>
      <c r="T449" t="s">
        <v>42</v>
      </c>
      <c r="U449">
        <v>11</v>
      </c>
    </row>
    <row r="450" spans="1:21" x14ac:dyDescent="0.25">
      <c r="A450" t="s">
        <v>34</v>
      </c>
      <c r="B450" t="s">
        <v>21</v>
      </c>
      <c r="C450" t="s">
        <v>40</v>
      </c>
      <c r="D450" t="s">
        <v>23</v>
      </c>
      <c r="E450" t="s">
        <v>24</v>
      </c>
      <c r="F450">
        <v>47</v>
      </c>
      <c r="G450">
        <v>46</v>
      </c>
      <c r="H450">
        <v>42</v>
      </c>
      <c r="J450">
        <v>47</v>
      </c>
      <c r="K450">
        <v>6.8556546000000003</v>
      </c>
      <c r="L450">
        <v>42</v>
      </c>
      <c r="M450">
        <v>47</v>
      </c>
      <c r="N450">
        <v>135</v>
      </c>
      <c r="O450">
        <v>45</v>
      </c>
      <c r="P450">
        <v>46.5</v>
      </c>
      <c r="Q450">
        <v>4</v>
      </c>
      <c r="R450">
        <v>6.71</v>
      </c>
      <c r="S450" t="s">
        <v>41</v>
      </c>
      <c r="T450" t="s">
        <v>42</v>
      </c>
      <c r="U450">
        <v>11</v>
      </c>
    </row>
    <row r="451" spans="1:21" x14ac:dyDescent="0.25">
      <c r="A451" t="s">
        <v>34</v>
      </c>
      <c r="B451" t="s">
        <v>21</v>
      </c>
      <c r="C451" t="s">
        <v>36</v>
      </c>
      <c r="D451" t="s">
        <v>23</v>
      </c>
      <c r="E451" t="s">
        <v>24</v>
      </c>
      <c r="F451">
        <v>81</v>
      </c>
      <c r="G451">
        <v>73</v>
      </c>
      <c r="H451">
        <v>72</v>
      </c>
      <c r="J451">
        <v>81</v>
      </c>
      <c r="K451">
        <v>9</v>
      </c>
      <c r="L451">
        <v>72</v>
      </c>
      <c r="M451">
        <v>81</v>
      </c>
      <c r="N451">
        <v>226</v>
      </c>
      <c r="O451">
        <v>75.333333330000002</v>
      </c>
      <c r="P451">
        <v>77</v>
      </c>
      <c r="Q451">
        <v>4</v>
      </c>
      <c r="R451">
        <v>8.68</v>
      </c>
      <c r="S451" t="s">
        <v>38</v>
      </c>
      <c r="T451" t="s">
        <v>26</v>
      </c>
      <c r="U451">
        <v>18</v>
      </c>
    </row>
    <row r="452" spans="1:21" x14ac:dyDescent="0.25">
      <c r="A452" t="s">
        <v>20</v>
      </c>
      <c r="B452" t="s">
        <v>27</v>
      </c>
      <c r="C452" t="s">
        <v>28</v>
      </c>
      <c r="D452" t="s">
        <v>37</v>
      </c>
      <c r="E452" t="s">
        <v>29</v>
      </c>
      <c r="F452">
        <v>64</v>
      </c>
      <c r="G452">
        <v>85</v>
      </c>
      <c r="H452">
        <v>85</v>
      </c>
      <c r="J452">
        <v>64</v>
      </c>
      <c r="K452">
        <v>8</v>
      </c>
      <c r="L452">
        <v>64</v>
      </c>
      <c r="M452">
        <v>85</v>
      </c>
      <c r="N452">
        <v>234</v>
      </c>
      <c r="O452">
        <v>78</v>
      </c>
      <c r="P452">
        <v>74.5</v>
      </c>
      <c r="Q452">
        <v>1</v>
      </c>
      <c r="R452">
        <v>8.83</v>
      </c>
      <c r="S452" t="s">
        <v>30</v>
      </c>
      <c r="T452" t="s">
        <v>31</v>
      </c>
      <c r="U452">
        <v>12</v>
      </c>
    </row>
    <row r="453" spans="1:21" x14ac:dyDescent="0.25">
      <c r="A453" t="s">
        <v>20</v>
      </c>
      <c r="B453" t="s">
        <v>64</v>
      </c>
      <c r="C453" t="s">
        <v>28</v>
      </c>
      <c r="D453" t="s">
        <v>23</v>
      </c>
      <c r="E453" t="s">
        <v>24</v>
      </c>
      <c r="F453">
        <v>100</v>
      </c>
      <c r="G453">
        <v>92</v>
      </c>
      <c r="H453">
        <v>97</v>
      </c>
      <c r="J453">
        <v>100</v>
      </c>
      <c r="K453">
        <v>10</v>
      </c>
      <c r="L453">
        <v>92</v>
      </c>
      <c r="M453">
        <v>100</v>
      </c>
      <c r="N453">
        <v>289</v>
      </c>
      <c r="O453">
        <v>96.333333330000002</v>
      </c>
      <c r="P453">
        <v>98.5</v>
      </c>
      <c r="Q453">
        <v>3</v>
      </c>
      <c r="R453">
        <v>9.81</v>
      </c>
      <c r="S453" t="s">
        <v>30</v>
      </c>
      <c r="T453" t="s">
        <v>31</v>
      </c>
      <c r="U453">
        <v>12</v>
      </c>
    </row>
    <row r="454" spans="1:21" x14ac:dyDescent="0.25">
      <c r="A454" t="s">
        <v>20</v>
      </c>
      <c r="B454" t="s">
        <v>27</v>
      </c>
      <c r="C454" t="s">
        <v>36</v>
      </c>
      <c r="D454" t="s">
        <v>37</v>
      </c>
      <c r="E454" t="s">
        <v>24</v>
      </c>
      <c r="F454">
        <v>65</v>
      </c>
      <c r="G454">
        <v>77</v>
      </c>
      <c r="H454">
        <v>74</v>
      </c>
      <c r="J454">
        <v>65</v>
      </c>
      <c r="K454">
        <v>8.0622577480000004</v>
      </c>
      <c r="L454">
        <v>65</v>
      </c>
      <c r="M454">
        <v>77</v>
      </c>
      <c r="N454">
        <v>216</v>
      </c>
      <c r="O454">
        <v>72</v>
      </c>
      <c r="P454">
        <v>69.5</v>
      </c>
      <c r="Q454">
        <v>2</v>
      </c>
      <c r="R454">
        <v>8.49</v>
      </c>
      <c r="S454" t="s">
        <v>38</v>
      </c>
      <c r="T454" t="s">
        <v>26</v>
      </c>
      <c r="U454">
        <v>18</v>
      </c>
    </row>
    <row r="455" spans="1:21" x14ac:dyDescent="0.25">
      <c r="A455" t="s">
        <v>34</v>
      </c>
      <c r="B455" t="s">
        <v>27</v>
      </c>
      <c r="C455" t="s">
        <v>28</v>
      </c>
      <c r="D455" t="s">
        <v>37</v>
      </c>
      <c r="E455" t="s">
        <v>24</v>
      </c>
      <c r="F455">
        <v>65</v>
      </c>
      <c r="G455">
        <v>58</v>
      </c>
      <c r="H455">
        <v>49</v>
      </c>
      <c r="J455">
        <v>65</v>
      </c>
      <c r="K455">
        <v>8.0622577480000004</v>
      </c>
      <c r="L455">
        <v>49</v>
      </c>
      <c r="M455">
        <v>65</v>
      </c>
      <c r="N455">
        <v>172</v>
      </c>
      <c r="O455">
        <v>57.333333330000002</v>
      </c>
      <c r="P455">
        <v>61.5</v>
      </c>
      <c r="Q455">
        <v>4</v>
      </c>
      <c r="R455">
        <v>7.57</v>
      </c>
      <c r="S455" t="s">
        <v>30</v>
      </c>
      <c r="T455" t="s">
        <v>31</v>
      </c>
      <c r="U455">
        <v>12</v>
      </c>
    </row>
    <row r="456" spans="1:21" x14ac:dyDescent="0.25">
      <c r="A456" t="s">
        <v>20</v>
      </c>
      <c r="B456" t="s">
        <v>27</v>
      </c>
      <c r="C456" t="s">
        <v>36</v>
      </c>
      <c r="D456" t="s">
        <v>37</v>
      </c>
      <c r="E456" t="s">
        <v>24</v>
      </c>
      <c r="F456">
        <v>53</v>
      </c>
      <c r="G456">
        <v>61</v>
      </c>
      <c r="H456">
        <v>62</v>
      </c>
      <c r="J456">
        <v>53</v>
      </c>
      <c r="K456">
        <v>7.2801098890000002</v>
      </c>
      <c r="L456">
        <v>53</v>
      </c>
      <c r="M456">
        <v>62</v>
      </c>
      <c r="N456">
        <v>176</v>
      </c>
      <c r="O456">
        <v>58.666666669999998</v>
      </c>
      <c r="P456">
        <v>57</v>
      </c>
      <c r="Q456">
        <v>1</v>
      </c>
      <c r="R456">
        <v>7.66</v>
      </c>
      <c r="S456" t="s">
        <v>38</v>
      </c>
      <c r="T456" t="s">
        <v>26</v>
      </c>
      <c r="U456">
        <v>18</v>
      </c>
    </row>
    <row r="457" spans="1:21" x14ac:dyDescent="0.25">
      <c r="A457" t="s">
        <v>34</v>
      </c>
      <c r="B457" t="s">
        <v>27</v>
      </c>
      <c r="C457" t="s">
        <v>22</v>
      </c>
      <c r="D457" t="s">
        <v>37</v>
      </c>
      <c r="E457" t="s">
        <v>24</v>
      </c>
      <c r="F457">
        <v>37</v>
      </c>
      <c r="G457">
        <v>56</v>
      </c>
      <c r="H457">
        <v>47</v>
      </c>
      <c r="J457">
        <v>37</v>
      </c>
      <c r="K457">
        <v>6.0827625300000001</v>
      </c>
      <c r="L457">
        <v>37</v>
      </c>
      <c r="M457">
        <v>56</v>
      </c>
      <c r="N457">
        <v>140</v>
      </c>
      <c r="O457">
        <v>46.666666669999998</v>
      </c>
      <c r="P457">
        <v>42</v>
      </c>
      <c r="Q457">
        <v>2</v>
      </c>
      <c r="R457">
        <v>6.83</v>
      </c>
      <c r="S457" t="s">
        <v>25</v>
      </c>
      <c r="T457" t="s">
        <v>26</v>
      </c>
      <c r="U457">
        <v>17</v>
      </c>
    </row>
    <row r="458" spans="1:21" x14ac:dyDescent="0.25">
      <c r="A458" t="s">
        <v>20</v>
      </c>
      <c r="B458" t="s">
        <v>39</v>
      </c>
      <c r="C458" t="s">
        <v>22</v>
      </c>
      <c r="D458" t="s">
        <v>23</v>
      </c>
      <c r="E458" t="s">
        <v>24</v>
      </c>
      <c r="F458">
        <v>79</v>
      </c>
      <c r="G458">
        <v>89</v>
      </c>
      <c r="H458">
        <v>89</v>
      </c>
      <c r="J458">
        <v>79</v>
      </c>
      <c r="K458">
        <v>8.8881944169999993</v>
      </c>
      <c r="L458">
        <v>79</v>
      </c>
      <c r="M458">
        <v>89</v>
      </c>
      <c r="N458">
        <v>257</v>
      </c>
      <c r="O458">
        <v>85.666666669999998</v>
      </c>
      <c r="P458">
        <v>84</v>
      </c>
      <c r="Q458">
        <v>1</v>
      </c>
      <c r="R458">
        <v>9.26</v>
      </c>
      <c r="S458" t="s">
        <v>25</v>
      </c>
      <c r="T458" t="s">
        <v>26</v>
      </c>
      <c r="U458">
        <v>17</v>
      </c>
    </row>
    <row r="459" spans="1:21" x14ac:dyDescent="0.25">
      <c r="A459" t="s">
        <v>34</v>
      </c>
      <c r="B459" t="s">
        <v>39</v>
      </c>
      <c r="C459" t="s">
        <v>36</v>
      </c>
      <c r="D459" t="s">
        <v>37</v>
      </c>
      <c r="E459" t="s">
        <v>24</v>
      </c>
      <c r="F459">
        <v>53</v>
      </c>
      <c r="G459">
        <v>54</v>
      </c>
      <c r="H459">
        <v>48</v>
      </c>
      <c r="J459">
        <v>53</v>
      </c>
      <c r="K459">
        <v>7.2801098890000002</v>
      </c>
      <c r="L459">
        <v>48</v>
      </c>
      <c r="M459">
        <v>54</v>
      </c>
      <c r="N459">
        <v>155</v>
      </c>
      <c r="O459">
        <v>51.666666669999998</v>
      </c>
      <c r="P459">
        <v>53</v>
      </c>
      <c r="Q459">
        <v>4</v>
      </c>
      <c r="R459">
        <v>7.19</v>
      </c>
      <c r="S459" t="s">
        <v>38</v>
      </c>
      <c r="T459" t="s">
        <v>26</v>
      </c>
      <c r="U459">
        <v>18</v>
      </c>
    </row>
    <row r="460" spans="1:21" x14ac:dyDescent="0.25">
      <c r="A460" t="s">
        <v>20</v>
      </c>
      <c r="B460" t="s">
        <v>64</v>
      </c>
      <c r="C460" t="s">
        <v>22</v>
      </c>
      <c r="D460" t="s">
        <v>23</v>
      </c>
      <c r="E460" t="s">
        <v>24</v>
      </c>
      <c r="F460">
        <v>100</v>
      </c>
      <c r="G460">
        <v>100</v>
      </c>
      <c r="H460">
        <v>100</v>
      </c>
      <c r="J460">
        <v>100</v>
      </c>
      <c r="K460">
        <v>10</v>
      </c>
      <c r="L460">
        <v>100</v>
      </c>
      <c r="M460">
        <v>100</v>
      </c>
      <c r="N460">
        <v>300</v>
      </c>
      <c r="O460">
        <v>100</v>
      </c>
      <c r="P460">
        <v>100</v>
      </c>
      <c r="Q460">
        <v>1</v>
      </c>
      <c r="R460">
        <v>10</v>
      </c>
      <c r="S460" t="s">
        <v>25</v>
      </c>
      <c r="T460" t="s">
        <v>26</v>
      </c>
      <c r="U460">
        <v>17</v>
      </c>
    </row>
    <row r="461" spans="1:21" x14ac:dyDescent="0.25">
      <c r="A461" t="s">
        <v>34</v>
      </c>
      <c r="B461" t="s">
        <v>21</v>
      </c>
      <c r="C461" t="s">
        <v>40</v>
      </c>
      <c r="D461" t="s">
        <v>23</v>
      </c>
      <c r="E461" t="s">
        <v>29</v>
      </c>
      <c r="F461">
        <v>72</v>
      </c>
      <c r="G461">
        <v>65</v>
      </c>
      <c r="H461">
        <v>68</v>
      </c>
      <c r="J461">
        <v>72</v>
      </c>
      <c r="K461">
        <v>8.4852813739999995</v>
      </c>
      <c r="L461">
        <v>65</v>
      </c>
      <c r="M461">
        <v>72</v>
      </c>
      <c r="N461">
        <v>205</v>
      </c>
      <c r="O461">
        <v>68.333333330000002</v>
      </c>
      <c r="P461">
        <v>70</v>
      </c>
      <c r="Q461">
        <v>3</v>
      </c>
      <c r="R461">
        <v>8.27</v>
      </c>
      <c r="S461" t="s">
        <v>41</v>
      </c>
      <c r="T461" t="s">
        <v>42</v>
      </c>
      <c r="U461">
        <v>11</v>
      </c>
    </row>
    <row r="462" spans="1:21" x14ac:dyDescent="0.25">
      <c r="A462" t="s">
        <v>34</v>
      </c>
      <c r="B462" t="s">
        <v>27</v>
      </c>
      <c r="C462" t="s">
        <v>22</v>
      </c>
      <c r="D462" t="s">
        <v>37</v>
      </c>
      <c r="E462" t="s">
        <v>24</v>
      </c>
      <c r="F462">
        <v>53</v>
      </c>
      <c r="G462">
        <v>58</v>
      </c>
      <c r="H462">
        <v>55</v>
      </c>
      <c r="J462">
        <v>53</v>
      </c>
      <c r="K462">
        <v>7.2801098890000002</v>
      </c>
      <c r="L462">
        <v>53</v>
      </c>
      <c r="M462">
        <v>58</v>
      </c>
      <c r="N462">
        <v>166</v>
      </c>
      <c r="O462">
        <v>55.333333330000002</v>
      </c>
      <c r="P462">
        <v>54</v>
      </c>
      <c r="Q462">
        <v>2</v>
      </c>
      <c r="R462">
        <v>7.44</v>
      </c>
      <c r="S462" t="s">
        <v>25</v>
      </c>
      <c r="T462" t="s">
        <v>26</v>
      </c>
      <c r="U462">
        <v>17</v>
      </c>
    </row>
    <row r="463" spans="1:21" x14ac:dyDescent="0.25">
      <c r="A463" t="s">
        <v>34</v>
      </c>
      <c r="B463" t="s">
        <v>21</v>
      </c>
      <c r="C463" t="s">
        <v>28</v>
      </c>
      <c r="D463" t="s">
        <v>37</v>
      </c>
      <c r="E463" t="s">
        <v>24</v>
      </c>
      <c r="F463">
        <v>54</v>
      </c>
      <c r="G463">
        <v>54</v>
      </c>
      <c r="H463">
        <v>45</v>
      </c>
      <c r="J463">
        <v>54</v>
      </c>
      <c r="K463">
        <v>7.3484692279999999</v>
      </c>
      <c r="L463">
        <v>45</v>
      </c>
      <c r="M463">
        <v>54</v>
      </c>
      <c r="N463">
        <v>153</v>
      </c>
      <c r="O463">
        <v>51</v>
      </c>
      <c r="P463">
        <v>54</v>
      </c>
      <c r="Q463">
        <v>4</v>
      </c>
      <c r="R463">
        <v>7.14</v>
      </c>
      <c r="S463" t="s">
        <v>30</v>
      </c>
      <c r="T463" t="s">
        <v>31</v>
      </c>
      <c r="U463">
        <v>12</v>
      </c>
    </row>
    <row r="464" spans="1:21" x14ac:dyDescent="0.25">
      <c r="A464" t="s">
        <v>20</v>
      </c>
      <c r="B464" t="s">
        <v>64</v>
      </c>
      <c r="C464" t="s">
        <v>28</v>
      </c>
      <c r="D464" t="s">
        <v>23</v>
      </c>
      <c r="E464" t="s">
        <v>24</v>
      </c>
      <c r="F464">
        <v>71</v>
      </c>
      <c r="G464">
        <v>70</v>
      </c>
      <c r="H464">
        <v>76</v>
      </c>
      <c r="J464">
        <v>71</v>
      </c>
      <c r="K464">
        <v>8.4261497730000006</v>
      </c>
      <c r="L464">
        <v>70</v>
      </c>
      <c r="M464">
        <v>76</v>
      </c>
      <c r="N464">
        <v>217</v>
      </c>
      <c r="O464">
        <v>72.333333330000002</v>
      </c>
      <c r="P464">
        <v>71</v>
      </c>
      <c r="Q464">
        <v>1</v>
      </c>
      <c r="R464">
        <v>8.5</v>
      </c>
      <c r="S464" t="s">
        <v>30</v>
      </c>
      <c r="T464" t="s">
        <v>31</v>
      </c>
      <c r="U464">
        <v>12</v>
      </c>
    </row>
    <row r="465" spans="1:21" x14ac:dyDescent="0.25">
      <c r="A465" t="s">
        <v>20</v>
      </c>
      <c r="B465" t="s">
        <v>27</v>
      </c>
      <c r="C465" t="s">
        <v>28</v>
      </c>
      <c r="D465" t="s">
        <v>37</v>
      </c>
      <c r="E465" t="s">
        <v>24</v>
      </c>
      <c r="F465">
        <v>77</v>
      </c>
      <c r="G465">
        <v>90</v>
      </c>
      <c r="H465">
        <v>91</v>
      </c>
      <c r="J465">
        <v>77</v>
      </c>
      <c r="K465">
        <v>8.7749643870000007</v>
      </c>
      <c r="L465">
        <v>77</v>
      </c>
      <c r="M465">
        <v>91</v>
      </c>
      <c r="N465">
        <v>258</v>
      </c>
      <c r="O465">
        <v>86</v>
      </c>
      <c r="P465">
        <v>83.5</v>
      </c>
      <c r="Q465">
        <v>1</v>
      </c>
      <c r="R465">
        <v>9.27</v>
      </c>
      <c r="S465" t="s">
        <v>30</v>
      </c>
      <c r="T465" t="s">
        <v>31</v>
      </c>
      <c r="U465">
        <v>12</v>
      </c>
    </row>
    <row r="466" spans="1:21" x14ac:dyDescent="0.25">
      <c r="A466" t="s">
        <v>34</v>
      </c>
      <c r="B466" t="s">
        <v>35</v>
      </c>
      <c r="C466" t="s">
        <v>22</v>
      </c>
      <c r="D466" t="s">
        <v>23</v>
      </c>
      <c r="E466" t="s">
        <v>29</v>
      </c>
      <c r="F466">
        <v>75</v>
      </c>
      <c r="G466">
        <v>58</v>
      </c>
      <c r="H466">
        <v>62</v>
      </c>
      <c r="J466">
        <v>75</v>
      </c>
      <c r="K466">
        <v>8.6602540379999997</v>
      </c>
      <c r="L466">
        <v>58</v>
      </c>
      <c r="M466">
        <v>75</v>
      </c>
      <c r="N466">
        <v>195</v>
      </c>
      <c r="O466">
        <v>65</v>
      </c>
      <c r="P466">
        <v>68.5</v>
      </c>
      <c r="Q466">
        <v>3</v>
      </c>
      <c r="R466">
        <v>8.06</v>
      </c>
      <c r="S466" t="s">
        <v>25</v>
      </c>
      <c r="T466" t="s">
        <v>26</v>
      </c>
      <c r="U466">
        <v>17</v>
      </c>
    </row>
    <row r="467" spans="1:21" x14ac:dyDescent="0.25">
      <c r="A467" t="s">
        <v>20</v>
      </c>
      <c r="B467" t="s">
        <v>27</v>
      </c>
      <c r="C467" t="s">
        <v>28</v>
      </c>
      <c r="D467" t="s">
        <v>23</v>
      </c>
      <c r="E467" t="s">
        <v>24</v>
      </c>
      <c r="F467">
        <v>84</v>
      </c>
      <c r="G467">
        <v>87</v>
      </c>
      <c r="H467">
        <v>91</v>
      </c>
      <c r="J467">
        <v>84</v>
      </c>
      <c r="K467">
        <v>9.1651513900000001</v>
      </c>
      <c r="L467">
        <v>84</v>
      </c>
      <c r="M467">
        <v>91</v>
      </c>
      <c r="N467">
        <v>262</v>
      </c>
      <c r="O467">
        <v>87.333333330000002</v>
      </c>
      <c r="P467">
        <v>85.5</v>
      </c>
      <c r="Q467">
        <v>1</v>
      </c>
      <c r="R467">
        <v>9.35</v>
      </c>
      <c r="S467" t="s">
        <v>30</v>
      </c>
      <c r="T467" t="s">
        <v>31</v>
      </c>
      <c r="U467">
        <v>12</v>
      </c>
    </row>
    <row r="468" spans="1:21" x14ac:dyDescent="0.25">
      <c r="A468" t="s">
        <v>20</v>
      </c>
      <c r="B468" t="s">
        <v>39</v>
      </c>
      <c r="C468" t="s">
        <v>36</v>
      </c>
      <c r="D468" t="s">
        <v>37</v>
      </c>
      <c r="E468" t="s">
        <v>24</v>
      </c>
      <c r="F468">
        <v>26</v>
      </c>
      <c r="G468">
        <v>31</v>
      </c>
      <c r="H468">
        <v>38</v>
      </c>
      <c r="J468">
        <v>26</v>
      </c>
      <c r="K468">
        <v>5.0990195140000001</v>
      </c>
      <c r="L468">
        <v>26</v>
      </c>
      <c r="M468">
        <v>38</v>
      </c>
      <c r="N468">
        <v>95</v>
      </c>
      <c r="O468">
        <v>31.666666670000001</v>
      </c>
      <c r="P468">
        <v>28.5</v>
      </c>
      <c r="Q468">
        <v>1</v>
      </c>
      <c r="R468">
        <v>5.63</v>
      </c>
      <c r="S468" t="s">
        <v>38</v>
      </c>
      <c r="T468" t="s">
        <v>26</v>
      </c>
      <c r="U468">
        <v>18</v>
      </c>
    </row>
    <row r="469" spans="1:21" x14ac:dyDescent="0.25">
      <c r="A469" t="s">
        <v>34</v>
      </c>
      <c r="B469" t="s">
        <v>35</v>
      </c>
      <c r="C469" t="s">
        <v>40</v>
      </c>
      <c r="D469" t="s">
        <v>37</v>
      </c>
      <c r="E469" t="s">
        <v>29</v>
      </c>
      <c r="F469">
        <v>72</v>
      </c>
      <c r="G469">
        <v>67</v>
      </c>
      <c r="H469">
        <v>65</v>
      </c>
      <c r="J469">
        <v>72</v>
      </c>
      <c r="K469">
        <v>8.4852813739999995</v>
      </c>
      <c r="L469">
        <v>65</v>
      </c>
      <c r="M469">
        <v>72</v>
      </c>
      <c r="N469">
        <v>204</v>
      </c>
      <c r="O469">
        <v>68</v>
      </c>
      <c r="P469">
        <v>69.5</v>
      </c>
      <c r="Q469">
        <v>4</v>
      </c>
      <c r="R469">
        <v>8.25</v>
      </c>
      <c r="S469" t="s">
        <v>41</v>
      </c>
      <c r="T469" t="s">
        <v>42</v>
      </c>
      <c r="U469">
        <v>11</v>
      </c>
    </row>
    <row r="470" spans="1:21" x14ac:dyDescent="0.25">
      <c r="A470" t="s">
        <v>20</v>
      </c>
      <c r="B470" t="s">
        <v>35</v>
      </c>
      <c r="C470" t="s">
        <v>40</v>
      </c>
      <c r="D470" t="s">
        <v>37</v>
      </c>
      <c r="E470" t="s">
        <v>29</v>
      </c>
      <c r="F470">
        <v>77</v>
      </c>
      <c r="G470">
        <v>88</v>
      </c>
      <c r="H470">
        <v>85</v>
      </c>
      <c r="J470">
        <v>77</v>
      </c>
      <c r="K470">
        <v>8.7749643870000007</v>
      </c>
      <c r="L470">
        <v>77</v>
      </c>
      <c r="M470">
        <v>88</v>
      </c>
      <c r="N470">
        <v>250</v>
      </c>
      <c r="O470">
        <v>83.333333330000002</v>
      </c>
      <c r="P470">
        <v>81</v>
      </c>
      <c r="Q470">
        <v>2</v>
      </c>
      <c r="R470">
        <v>9.1300000000000008</v>
      </c>
      <c r="S470" t="s">
        <v>41</v>
      </c>
      <c r="T470" t="s">
        <v>42</v>
      </c>
      <c r="U470">
        <v>11</v>
      </c>
    </row>
    <row r="471" spans="1:21" x14ac:dyDescent="0.25">
      <c r="A471" t="s">
        <v>34</v>
      </c>
      <c r="B471" t="s">
        <v>27</v>
      </c>
      <c r="C471" t="s">
        <v>28</v>
      </c>
      <c r="D471" t="s">
        <v>23</v>
      </c>
      <c r="E471" t="s">
        <v>24</v>
      </c>
      <c r="F471">
        <v>91</v>
      </c>
      <c r="G471">
        <v>74</v>
      </c>
      <c r="H471">
        <v>76</v>
      </c>
      <c r="J471">
        <v>91</v>
      </c>
      <c r="K471">
        <v>9.5393920140000006</v>
      </c>
      <c r="L471">
        <v>74</v>
      </c>
      <c r="M471">
        <v>91</v>
      </c>
      <c r="N471">
        <v>241</v>
      </c>
      <c r="O471">
        <v>80.333333330000002</v>
      </c>
      <c r="P471">
        <v>83.5</v>
      </c>
      <c r="Q471">
        <v>3</v>
      </c>
      <c r="R471">
        <v>8.9600000000000009</v>
      </c>
      <c r="S471" t="s">
        <v>30</v>
      </c>
      <c r="T471" t="s">
        <v>31</v>
      </c>
      <c r="U471">
        <v>12</v>
      </c>
    </row>
    <row r="472" spans="1:21" x14ac:dyDescent="0.25">
      <c r="A472" t="s">
        <v>20</v>
      </c>
      <c r="B472" t="s">
        <v>27</v>
      </c>
      <c r="C472" t="s">
        <v>36</v>
      </c>
      <c r="D472" t="s">
        <v>23</v>
      </c>
      <c r="E472" t="s">
        <v>29</v>
      </c>
      <c r="F472">
        <v>83</v>
      </c>
      <c r="G472">
        <v>85</v>
      </c>
      <c r="H472">
        <v>90</v>
      </c>
      <c r="J472">
        <v>83</v>
      </c>
      <c r="K472">
        <v>9.1104335790000004</v>
      </c>
      <c r="L472">
        <v>83</v>
      </c>
      <c r="M472">
        <v>90</v>
      </c>
      <c r="N472">
        <v>258</v>
      </c>
      <c r="O472">
        <v>86</v>
      </c>
      <c r="P472">
        <v>84</v>
      </c>
      <c r="Q472">
        <v>1</v>
      </c>
      <c r="R472">
        <v>9.27</v>
      </c>
      <c r="S472" t="s">
        <v>38</v>
      </c>
      <c r="T472" t="s">
        <v>26</v>
      </c>
      <c r="U472">
        <v>18</v>
      </c>
    </row>
    <row r="473" spans="1:21" x14ac:dyDescent="0.25">
      <c r="A473" t="s">
        <v>20</v>
      </c>
      <c r="B473" t="s">
        <v>27</v>
      </c>
      <c r="C473" t="s">
        <v>40</v>
      </c>
      <c r="D473" t="s">
        <v>23</v>
      </c>
      <c r="E473" t="s">
        <v>24</v>
      </c>
      <c r="F473">
        <v>63</v>
      </c>
      <c r="G473">
        <v>69</v>
      </c>
      <c r="H473">
        <v>74</v>
      </c>
      <c r="J473">
        <v>63</v>
      </c>
      <c r="K473">
        <v>7.937253933</v>
      </c>
      <c r="L473">
        <v>63</v>
      </c>
      <c r="M473">
        <v>74</v>
      </c>
      <c r="N473">
        <v>206</v>
      </c>
      <c r="O473">
        <v>68.666666669999998</v>
      </c>
      <c r="P473">
        <v>66</v>
      </c>
      <c r="Q473">
        <v>1</v>
      </c>
      <c r="R473">
        <v>8.2899999999999991</v>
      </c>
      <c r="S473" t="s">
        <v>41</v>
      </c>
      <c r="T473" t="s">
        <v>42</v>
      </c>
      <c r="U473">
        <v>11</v>
      </c>
    </row>
    <row r="474" spans="1:21" x14ac:dyDescent="0.25">
      <c r="A474" t="s">
        <v>20</v>
      </c>
      <c r="B474" t="s">
        <v>27</v>
      </c>
      <c r="C474" t="s">
        <v>36</v>
      </c>
      <c r="D474" t="s">
        <v>23</v>
      </c>
      <c r="E474" t="s">
        <v>29</v>
      </c>
      <c r="F474">
        <v>68</v>
      </c>
      <c r="G474">
        <v>86</v>
      </c>
      <c r="H474">
        <v>84</v>
      </c>
      <c r="J474">
        <v>68</v>
      </c>
      <c r="K474">
        <v>8.2462112510000001</v>
      </c>
      <c r="L474">
        <v>68</v>
      </c>
      <c r="M474">
        <v>86</v>
      </c>
      <c r="N474">
        <v>238</v>
      </c>
      <c r="O474">
        <v>79.333333330000002</v>
      </c>
      <c r="P474">
        <v>76</v>
      </c>
      <c r="Q474">
        <v>2</v>
      </c>
      <c r="R474">
        <v>8.91</v>
      </c>
      <c r="S474" t="s">
        <v>38</v>
      </c>
      <c r="T474" t="s">
        <v>26</v>
      </c>
      <c r="U474">
        <v>18</v>
      </c>
    </row>
    <row r="475" spans="1:21" x14ac:dyDescent="0.25">
      <c r="A475" t="s">
        <v>20</v>
      </c>
      <c r="B475" t="s">
        <v>39</v>
      </c>
      <c r="C475" t="s">
        <v>50</v>
      </c>
      <c r="D475" t="s">
        <v>23</v>
      </c>
      <c r="E475" t="s">
        <v>24</v>
      </c>
      <c r="F475">
        <v>59</v>
      </c>
      <c r="G475">
        <v>67</v>
      </c>
      <c r="H475">
        <v>61</v>
      </c>
      <c r="J475">
        <v>59</v>
      </c>
      <c r="K475">
        <v>7.6811457479999996</v>
      </c>
      <c r="L475">
        <v>59</v>
      </c>
      <c r="M475">
        <v>67</v>
      </c>
      <c r="N475">
        <v>187</v>
      </c>
      <c r="O475">
        <v>62.333333330000002</v>
      </c>
      <c r="P475">
        <v>60</v>
      </c>
      <c r="Q475">
        <v>2</v>
      </c>
      <c r="R475">
        <v>7.9</v>
      </c>
      <c r="S475" t="s">
        <v>30</v>
      </c>
      <c r="T475" t="s">
        <v>42</v>
      </c>
      <c r="U475">
        <v>16</v>
      </c>
    </row>
    <row r="476" spans="1:21" x14ac:dyDescent="0.25">
      <c r="A476" t="s">
        <v>20</v>
      </c>
      <c r="B476" t="s">
        <v>21</v>
      </c>
      <c r="C476" t="s">
        <v>36</v>
      </c>
      <c r="D476" t="s">
        <v>23</v>
      </c>
      <c r="E476" t="s">
        <v>29</v>
      </c>
      <c r="F476">
        <v>90</v>
      </c>
      <c r="G476">
        <v>90</v>
      </c>
      <c r="H476">
        <v>91</v>
      </c>
      <c r="J476">
        <v>90</v>
      </c>
      <c r="K476">
        <v>9.4868329809999992</v>
      </c>
      <c r="L476">
        <v>90</v>
      </c>
      <c r="M476">
        <v>91</v>
      </c>
      <c r="N476">
        <v>271</v>
      </c>
      <c r="O476">
        <v>90.333333330000002</v>
      </c>
      <c r="P476">
        <v>90</v>
      </c>
      <c r="Q476">
        <v>1</v>
      </c>
      <c r="R476">
        <v>9.5</v>
      </c>
      <c r="S476" t="s">
        <v>38</v>
      </c>
      <c r="T476" t="s">
        <v>26</v>
      </c>
      <c r="U476">
        <v>18</v>
      </c>
    </row>
    <row r="477" spans="1:21" x14ac:dyDescent="0.25">
      <c r="A477" t="s">
        <v>20</v>
      </c>
      <c r="B477" t="s">
        <v>39</v>
      </c>
      <c r="C477" t="s">
        <v>22</v>
      </c>
      <c r="D477" t="s">
        <v>23</v>
      </c>
      <c r="E477" t="s">
        <v>29</v>
      </c>
      <c r="F477">
        <v>71</v>
      </c>
      <c r="G477">
        <v>76</v>
      </c>
      <c r="H477">
        <v>83</v>
      </c>
      <c r="J477">
        <v>71</v>
      </c>
      <c r="K477">
        <v>8.4261497730000006</v>
      </c>
      <c r="L477">
        <v>71</v>
      </c>
      <c r="M477">
        <v>83</v>
      </c>
      <c r="N477">
        <v>230</v>
      </c>
      <c r="O477">
        <v>76.666666669999998</v>
      </c>
      <c r="P477">
        <v>73.5</v>
      </c>
      <c r="Q477">
        <v>1</v>
      </c>
      <c r="R477">
        <v>8.76</v>
      </c>
      <c r="S477" t="s">
        <v>25</v>
      </c>
      <c r="T477" t="s">
        <v>26</v>
      </c>
      <c r="U477">
        <v>17</v>
      </c>
    </row>
    <row r="478" spans="1:21" x14ac:dyDescent="0.25">
      <c r="A478" t="s">
        <v>34</v>
      </c>
      <c r="B478" t="s">
        <v>64</v>
      </c>
      <c r="C478" t="s">
        <v>22</v>
      </c>
      <c r="D478" t="s">
        <v>23</v>
      </c>
      <c r="E478" t="s">
        <v>29</v>
      </c>
      <c r="F478">
        <v>76</v>
      </c>
      <c r="G478">
        <v>62</v>
      </c>
      <c r="H478">
        <v>66</v>
      </c>
      <c r="J478">
        <v>76</v>
      </c>
      <c r="K478">
        <v>8.7177978869999997</v>
      </c>
      <c r="L478">
        <v>62</v>
      </c>
      <c r="M478">
        <v>76</v>
      </c>
      <c r="N478">
        <v>204</v>
      </c>
      <c r="O478">
        <v>68</v>
      </c>
      <c r="P478">
        <v>71</v>
      </c>
      <c r="Q478">
        <v>3</v>
      </c>
      <c r="R478">
        <v>8.25</v>
      </c>
      <c r="S478" t="s">
        <v>25</v>
      </c>
      <c r="T478" t="s">
        <v>26</v>
      </c>
      <c r="U478">
        <v>17</v>
      </c>
    </row>
    <row r="479" spans="1:21" x14ac:dyDescent="0.25">
      <c r="A479" t="s">
        <v>34</v>
      </c>
      <c r="B479" t="s">
        <v>39</v>
      </c>
      <c r="C479" t="s">
        <v>36</v>
      </c>
      <c r="D479" t="s">
        <v>23</v>
      </c>
      <c r="E479" t="s">
        <v>24</v>
      </c>
      <c r="F479">
        <v>80</v>
      </c>
      <c r="G479">
        <v>68</v>
      </c>
      <c r="H479">
        <v>72</v>
      </c>
      <c r="J479">
        <v>80</v>
      </c>
      <c r="K479">
        <v>8.9442719099999994</v>
      </c>
      <c r="L479">
        <v>68</v>
      </c>
      <c r="M479">
        <v>80</v>
      </c>
      <c r="N479">
        <v>220</v>
      </c>
      <c r="O479">
        <v>73.333333330000002</v>
      </c>
      <c r="P479">
        <v>76</v>
      </c>
      <c r="Q479">
        <v>3</v>
      </c>
      <c r="R479">
        <v>8.56</v>
      </c>
      <c r="S479" t="s">
        <v>38</v>
      </c>
      <c r="T479" t="s">
        <v>26</v>
      </c>
      <c r="U479">
        <v>18</v>
      </c>
    </row>
    <row r="480" spans="1:21" x14ac:dyDescent="0.25">
      <c r="A480" t="s">
        <v>20</v>
      </c>
      <c r="B480" t="s">
        <v>39</v>
      </c>
      <c r="C480" t="s">
        <v>32</v>
      </c>
      <c r="D480" t="s">
        <v>23</v>
      </c>
      <c r="E480" t="s">
        <v>24</v>
      </c>
      <c r="F480">
        <v>55</v>
      </c>
      <c r="G480">
        <v>64</v>
      </c>
      <c r="H480">
        <v>70</v>
      </c>
      <c r="J480">
        <v>55</v>
      </c>
      <c r="K480">
        <v>7.416198487</v>
      </c>
      <c r="L480">
        <v>55</v>
      </c>
      <c r="M480">
        <v>70</v>
      </c>
      <c r="N480">
        <v>189</v>
      </c>
      <c r="O480">
        <v>63</v>
      </c>
      <c r="P480">
        <v>59.5</v>
      </c>
      <c r="Q480">
        <v>1</v>
      </c>
      <c r="R480">
        <v>7.94</v>
      </c>
      <c r="S480" t="s">
        <v>33</v>
      </c>
      <c r="T480" t="s">
        <v>26</v>
      </c>
      <c r="U480">
        <v>15</v>
      </c>
    </row>
    <row r="481" spans="1:21" x14ac:dyDescent="0.25">
      <c r="A481" t="s">
        <v>34</v>
      </c>
      <c r="B481" t="s">
        <v>64</v>
      </c>
      <c r="C481" t="s">
        <v>36</v>
      </c>
      <c r="D481" t="s">
        <v>23</v>
      </c>
      <c r="E481" t="s">
        <v>24</v>
      </c>
      <c r="F481">
        <v>76</v>
      </c>
      <c r="G481">
        <v>71</v>
      </c>
      <c r="H481">
        <v>67</v>
      </c>
      <c r="J481">
        <v>76</v>
      </c>
      <c r="K481">
        <v>8.7177978869999997</v>
      </c>
      <c r="L481">
        <v>67</v>
      </c>
      <c r="M481">
        <v>76</v>
      </c>
      <c r="N481">
        <v>214</v>
      </c>
      <c r="O481">
        <v>71.333333330000002</v>
      </c>
      <c r="P481">
        <v>73.5</v>
      </c>
      <c r="Q481">
        <v>4</v>
      </c>
      <c r="R481">
        <v>8.4499999999999993</v>
      </c>
      <c r="S481" t="s">
        <v>38</v>
      </c>
      <c r="T481" t="s">
        <v>26</v>
      </c>
      <c r="U481">
        <v>18</v>
      </c>
    </row>
    <row r="482" spans="1:21" x14ac:dyDescent="0.25">
      <c r="A482" t="s">
        <v>34</v>
      </c>
      <c r="B482" t="s">
        <v>21</v>
      </c>
      <c r="C482" t="s">
        <v>40</v>
      </c>
      <c r="D482" t="s">
        <v>23</v>
      </c>
      <c r="E482" t="s">
        <v>29</v>
      </c>
      <c r="F482">
        <v>73</v>
      </c>
      <c r="G482">
        <v>71</v>
      </c>
      <c r="H482">
        <v>68</v>
      </c>
      <c r="J482">
        <v>73</v>
      </c>
      <c r="K482">
        <v>8.5440037449999995</v>
      </c>
      <c r="L482">
        <v>68</v>
      </c>
      <c r="M482">
        <v>73</v>
      </c>
      <c r="N482">
        <v>212</v>
      </c>
      <c r="O482">
        <v>70.666666669999998</v>
      </c>
      <c r="P482">
        <v>72</v>
      </c>
      <c r="Q482">
        <v>4</v>
      </c>
      <c r="R482">
        <v>8.41</v>
      </c>
      <c r="S482" t="s">
        <v>41</v>
      </c>
      <c r="T482" t="s">
        <v>42</v>
      </c>
      <c r="U482">
        <v>11</v>
      </c>
    </row>
    <row r="483" spans="1:21" x14ac:dyDescent="0.25">
      <c r="A483" t="s">
        <v>20</v>
      </c>
      <c r="B483" t="s">
        <v>39</v>
      </c>
      <c r="C483" t="s">
        <v>36</v>
      </c>
      <c r="D483" t="s">
        <v>37</v>
      </c>
      <c r="E483" t="s">
        <v>24</v>
      </c>
      <c r="F483">
        <v>52</v>
      </c>
      <c r="G483">
        <v>59</v>
      </c>
      <c r="H483">
        <v>56</v>
      </c>
      <c r="J483">
        <v>52</v>
      </c>
      <c r="K483">
        <v>7.2111025509999997</v>
      </c>
      <c r="L483">
        <v>52</v>
      </c>
      <c r="M483">
        <v>59</v>
      </c>
      <c r="N483">
        <v>167</v>
      </c>
      <c r="O483">
        <v>55.666666669999998</v>
      </c>
      <c r="P483">
        <v>54</v>
      </c>
      <c r="Q483">
        <v>2</v>
      </c>
      <c r="R483">
        <v>7.46</v>
      </c>
      <c r="S483" t="s">
        <v>38</v>
      </c>
      <c r="T483" t="s">
        <v>26</v>
      </c>
      <c r="U483">
        <v>18</v>
      </c>
    </row>
    <row r="484" spans="1:21" x14ac:dyDescent="0.25">
      <c r="A484" t="s">
        <v>34</v>
      </c>
      <c r="B484" t="s">
        <v>27</v>
      </c>
      <c r="C484" t="s">
        <v>28</v>
      </c>
      <c r="D484" t="s">
        <v>37</v>
      </c>
      <c r="E484" t="s">
        <v>24</v>
      </c>
      <c r="F484">
        <v>68</v>
      </c>
      <c r="G484">
        <v>68</v>
      </c>
      <c r="H484">
        <v>61</v>
      </c>
      <c r="J484">
        <v>68</v>
      </c>
      <c r="K484">
        <v>8.2462112510000001</v>
      </c>
      <c r="L484">
        <v>61</v>
      </c>
      <c r="M484">
        <v>68</v>
      </c>
      <c r="N484">
        <v>197</v>
      </c>
      <c r="O484">
        <v>65.666666669999998</v>
      </c>
      <c r="P484">
        <v>68</v>
      </c>
      <c r="Q484">
        <v>4</v>
      </c>
      <c r="R484">
        <v>8.1</v>
      </c>
      <c r="S484" t="s">
        <v>30</v>
      </c>
      <c r="T484" t="s">
        <v>31</v>
      </c>
      <c r="U484">
        <v>12</v>
      </c>
    </row>
    <row r="485" spans="1:21" x14ac:dyDescent="0.25">
      <c r="A485" t="s">
        <v>34</v>
      </c>
      <c r="B485" t="s">
        <v>35</v>
      </c>
      <c r="C485" t="s">
        <v>40</v>
      </c>
      <c r="D485" t="s">
        <v>23</v>
      </c>
      <c r="E485" t="s">
        <v>24</v>
      </c>
      <c r="F485">
        <v>59</v>
      </c>
      <c r="G485">
        <v>52</v>
      </c>
      <c r="H485">
        <v>46</v>
      </c>
      <c r="J485">
        <v>59</v>
      </c>
      <c r="K485">
        <v>7.6811457479999996</v>
      </c>
      <c r="L485">
        <v>46</v>
      </c>
      <c r="M485">
        <v>59</v>
      </c>
      <c r="N485">
        <v>157</v>
      </c>
      <c r="O485">
        <v>52.333333330000002</v>
      </c>
      <c r="P485">
        <v>55.5</v>
      </c>
      <c r="Q485">
        <v>4</v>
      </c>
      <c r="R485">
        <v>7.23</v>
      </c>
      <c r="S485" t="s">
        <v>41</v>
      </c>
      <c r="T485" t="s">
        <v>42</v>
      </c>
      <c r="U485">
        <v>11</v>
      </c>
    </row>
    <row r="486" spans="1:21" x14ac:dyDescent="0.25">
      <c r="A486" t="s">
        <v>20</v>
      </c>
      <c r="B486" t="s">
        <v>21</v>
      </c>
      <c r="C486" t="s">
        <v>36</v>
      </c>
      <c r="D486" t="s">
        <v>23</v>
      </c>
      <c r="E486" t="s">
        <v>24</v>
      </c>
      <c r="F486">
        <v>49</v>
      </c>
      <c r="G486">
        <v>52</v>
      </c>
      <c r="H486">
        <v>54</v>
      </c>
      <c r="J486">
        <v>49</v>
      </c>
      <c r="K486">
        <v>7</v>
      </c>
      <c r="L486">
        <v>49</v>
      </c>
      <c r="M486">
        <v>54</v>
      </c>
      <c r="N486">
        <v>155</v>
      </c>
      <c r="O486">
        <v>51.666666669999998</v>
      </c>
      <c r="P486">
        <v>50.5</v>
      </c>
      <c r="Q486">
        <v>1</v>
      </c>
      <c r="R486">
        <v>7.19</v>
      </c>
      <c r="S486" t="s">
        <v>38</v>
      </c>
      <c r="T486" t="s">
        <v>26</v>
      </c>
      <c r="U486">
        <v>18</v>
      </c>
    </row>
    <row r="487" spans="1:21" x14ac:dyDescent="0.25">
      <c r="A487" t="s">
        <v>34</v>
      </c>
      <c r="B487" t="s">
        <v>27</v>
      </c>
      <c r="C487" t="s">
        <v>40</v>
      </c>
      <c r="D487" t="s">
        <v>23</v>
      </c>
      <c r="E487" t="s">
        <v>24</v>
      </c>
      <c r="F487">
        <v>70</v>
      </c>
      <c r="G487">
        <v>74</v>
      </c>
      <c r="H487">
        <v>71</v>
      </c>
      <c r="J487">
        <v>70</v>
      </c>
      <c r="K487">
        <v>8.3666002650000006</v>
      </c>
      <c r="L487">
        <v>70</v>
      </c>
      <c r="M487">
        <v>74</v>
      </c>
      <c r="N487">
        <v>215</v>
      </c>
      <c r="O487">
        <v>71.666666669999998</v>
      </c>
      <c r="P487">
        <v>70.5</v>
      </c>
      <c r="Q487">
        <v>2</v>
      </c>
      <c r="R487">
        <v>8.4700000000000006</v>
      </c>
      <c r="S487" t="s">
        <v>41</v>
      </c>
      <c r="T487" t="s">
        <v>42</v>
      </c>
      <c r="U487">
        <v>11</v>
      </c>
    </row>
    <row r="488" spans="1:21" x14ac:dyDescent="0.25">
      <c r="A488" t="s">
        <v>34</v>
      </c>
      <c r="B488" t="s">
        <v>39</v>
      </c>
      <c r="C488" t="s">
        <v>28</v>
      </c>
      <c r="D488" t="s">
        <v>37</v>
      </c>
      <c r="E488" t="s">
        <v>24</v>
      </c>
      <c r="F488">
        <v>61</v>
      </c>
      <c r="G488">
        <v>47</v>
      </c>
      <c r="H488">
        <v>56</v>
      </c>
      <c r="J488">
        <v>61</v>
      </c>
      <c r="K488">
        <v>7.8102496759999998</v>
      </c>
      <c r="L488">
        <v>47</v>
      </c>
      <c r="M488">
        <v>61</v>
      </c>
      <c r="N488">
        <v>164</v>
      </c>
      <c r="O488">
        <v>54.666666669999998</v>
      </c>
      <c r="P488">
        <v>58.5</v>
      </c>
      <c r="Q488">
        <v>3</v>
      </c>
      <c r="R488">
        <v>7.39</v>
      </c>
      <c r="S488" t="s">
        <v>30</v>
      </c>
      <c r="T488" t="s">
        <v>31</v>
      </c>
      <c r="U488">
        <v>12</v>
      </c>
    </row>
    <row r="489" spans="1:21" x14ac:dyDescent="0.25">
      <c r="A489" t="s">
        <v>20</v>
      </c>
      <c r="B489" t="s">
        <v>27</v>
      </c>
      <c r="C489" t="s">
        <v>36</v>
      </c>
      <c r="D489" t="s">
        <v>37</v>
      </c>
      <c r="E489" t="s">
        <v>24</v>
      </c>
      <c r="F489">
        <v>60</v>
      </c>
      <c r="G489">
        <v>75</v>
      </c>
      <c r="H489">
        <v>74</v>
      </c>
      <c r="J489">
        <v>60</v>
      </c>
      <c r="K489">
        <v>7.7459666919999997</v>
      </c>
      <c r="L489">
        <v>60</v>
      </c>
      <c r="M489">
        <v>75</v>
      </c>
      <c r="N489">
        <v>209</v>
      </c>
      <c r="O489">
        <v>69.666666669999998</v>
      </c>
      <c r="P489">
        <v>67</v>
      </c>
      <c r="Q489">
        <v>2</v>
      </c>
      <c r="R489">
        <v>8.35</v>
      </c>
      <c r="S489" t="s">
        <v>38</v>
      </c>
      <c r="T489" t="s">
        <v>26</v>
      </c>
      <c r="U489">
        <v>18</v>
      </c>
    </row>
    <row r="490" spans="1:21" x14ac:dyDescent="0.25">
      <c r="A490" t="s">
        <v>34</v>
      </c>
      <c r="B490" t="s">
        <v>21</v>
      </c>
      <c r="C490" t="s">
        <v>50</v>
      </c>
      <c r="D490" t="s">
        <v>23</v>
      </c>
      <c r="E490" t="s">
        <v>29</v>
      </c>
      <c r="F490">
        <v>64</v>
      </c>
      <c r="G490">
        <v>53</v>
      </c>
      <c r="H490">
        <v>57</v>
      </c>
      <c r="J490">
        <v>64</v>
      </c>
      <c r="K490">
        <v>8</v>
      </c>
      <c r="L490">
        <v>53</v>
      </c>
      <c r="M490">
        <v>64</v>
      </c>
      <c r="N490">
        <v>174</v>
      </c>
      <c r="O490">
        <v>58</v>
      </c>
      <c r="P490">
        <v>60.5</v>
      </c>
      <c r="Q490">
        <v>3</v>
      </c>
      <c r="R490">
        <v>7.62</v>
      </c>
      <c r="S490" t="s">
        <v>30</v>
      </c>
      <c r="T490" t="s">
        <v>42</v>
      </c>
      <c r="U490">
        <v>16</v>
      </c>
    </row>
    <row r="491" spans="1:21" x14ac:dyDescent="0.25">
      <c r="A491" t="s">
        <v>34</v>
      </c>
      <c r="B491" t="s">
        <v>35</v>
      </c>
      <c r="C491" t="s">
        <v>36</v>
      </c>
      <c r="D491" t="s">
        <v>37</v>
      </c>
      <c r="E491" t="s">
        <v>29</v>
      </c>
      <c r="F491">
        <v>79</v>
      </c>
      <c r="G491">
        <v>82</v>
      </c>
      <c r="H491">
        <v>82</v>
      </c>
      <c r="J491">
        <v>79</v>
      </c>
      <c r="K491">
        <v>8.8881944169999993</v>
      </c>
      <c r="L491">
        <v>79</v>
      </c>
      <c r="M491">
        <v>82</v>
      </c>
      <c r="N491">
        <v>243</v>
      </c>
      <c r="O491">
        <v>81</v>
      </c>
      <c r="P491">
        <v>80.5</v>
      </c>
      <c r="Q491">
        <v>1</v>
      </c>
      <c r="R491">
        <v>9</v>
      </c>
      <c r="S491" t="s">
        <v>38</v>
      </c>
      <c r="T491" t="s">
        <v>26</v>
      </c>
      <c r="U491">
        <v>18</v>
      </c>
    </row>
    <row r="492" spans="1:21" x14ac:dyDescent="0.25">
      <c r="A492" t="s">
        <v>20</v>
      </c>
      <c r="B492" t="s">
        <v>35</v>
      </c>
      <c r="C492" t="s">
        <v>36</v>
      </c>
      <c r="D492" t="s">
        <v>37</v>
      </c>
      <c r="E492" t="s">
        <v>24</v>
      </c>
      <c r="F492">
        <v>65</v>
      </c>
      <c r="G492">
        <v>85</v>
      </c>
      <c r="H492">
        <v>76</v>
      </c>
      <c r="J492">
        <v>65</v>
      </c>
      <c r="K492">
        <v>8.0622577480000004</v>
      </c>
      <c r="L492">
        <v>65</v>
      </c>
      <c r="M492">
        <v>85</v>
      </c>
      <c r="N492">
        <v>226</v>
      </c>
      <c r="O492">
        <v>75.333333330000002</v>
      </c>
      <c r="P492">
        <v>70.5</v>
      </c>
      <c r="Q492">
        <v>2</v>
      </c>
      <c r="R492">
        <v>8.68</v>
      </c>
      <c r="S492" t="s">
        <v>38</v>
      </c>
      <c r="T492" t="s">
        <v>26</v>
      </c>
      <c r="U492">
        <v>18</v>
      </c>
    </row>
    <row r="493" spans="1:21" x14ac:dyDescent="0.25">
      <c r="A493" t="s">
        <v>20</v>
      </c>
      <c r="B493" t="s">
        <v>27</v>
      </c>
      <c r="C493" t="s">
        <v>36</v>
      </c>
      <c r="D493" t="s">
        <v>23</v>
      </c>
      <c r="E493" t="s">
        <v>24</v>
      </c>
      <c r="F493">
        <v>64</v>
      </c>
      <c r="G493">
        <v>64</v>
      </c>
      <c r="H493">
        <v>70</v>
      </c>
      <c r="J493">
        <v>64</v>
      </c>
      <c r="K493">
        <v>8</v>
      </c>
      <c r="L493">
        <v>64</v>
      </c>
      <c r="M493">
        <v>70</v>
      </c>
      <c r="N493">
        <v>198</v>
      </c>
      <c r="O493">
        <v>66</v>
      </c>
      <c r="P493">
        <v>64</v>
      </c>
      <c r="Q493">
        <v>1</v>
      </c>
      <c r="R493">
        <v>8.1199999999999992</v>
      </c>
      <c r="S493" t="s">
        <v>38</v>
      </c>
      <c r="T493" t="s">
        <v>26</v>
      </c>
      <c r="U493">
        <v>18</v>
      </c>
    </row>
    <row r="494" spans="1:21" x14ac:dyDescent="0.25">
      <c r="A494" t="s">
        <v>20</v>
      </c>
      <c r="B494" t="s">
        <v>27</v>
      </c>
      <c r="C494" t="s">
        <v>28</v>
      </c>
      <c r="D494" t="s">
        <v>23</v>
      </c>
      <c r="E494" t="s">
        <v>24</v>
      </c>
      <c r="F494">
        <v>83</v>
      </c>
      <c r="G494">
        <v>83</v>
      </c>
      <c r="H494">
        <v>90</v>
      </c>
      <c r="J494">
        <v>83</v>
      </c>
      <c r="K494">
        <v>9.1104335790000004</v>
      </c>
      <c r="L494">
        <v>83</v>
      </c>
      <c r="M494">
        <v>90</v>
      </c>
      <c r="N494">
        <v>256</v>
      </c>
      <c r="O494">
        <v>85.333333330000002</v>
      </c>
      <c r="P494">
        <v>83</v>
      </c>
      <c r="Q494">
        <v>1</v>
      </c>
      <c r="R494">
        <v>9.24</v>
      </c>
      <c r="S494" t="s">
        <v>30</v>
      </c>
      <c r="T494" t="s">
        <v>31</v>
      </c>
      <c r="U494">
        <v>12</v>
      </c>
    </row>
    <row r="495" spans="1:21" x14ac:dyDescent="0.25">
      <c r="A495" t="s">
        <v>20</v>
      </c>
      <c r="B495" t="s">
        <v>27</v>
      </c>
      <c r="C495" t="s">
        <v>22</v>
      </c>
      <c r="D495" t="s">
        <v>23</v>
      </c>
      <c r="E495" t="s">
        <v>24</v>
      </c>
      <c r="F495">
        <v>81</v>
      </c>
      <c r="G495">
        <v>88</v>
      </c>
      <c r="H495">
        <v>90</v>
      </c>
      <c r="J495">
        <v>81</v>
      </c>
      <c r="K495">
        <v>9</v>
      </c>
      <c r="L495">
        <v>81</v>
      </c>
      <c r="M495">
        <v>90</v>
      </c>
      <c r="N495">
        <v>259</v>
      </c>
      <c r="O495">
        <v>86.333333330000002</v>
      </c>
      <c r="P495">
        <v>84.5</v>
      </c>
      <c r="Q495">
        <v>1</v>
      </c>
      <c r="R495">
        <v>9.2899999999999991</v>
      </c>
      <c r="S495" t="s">
        <v>25</v>
      </c>
      <c r="T495" t="s">
        <v>26</v>
      </c>
      <c r="U495">
        <v>17</v>
      </c>
    </row>
    <row r="496" spans="1:21" x14ac:dyDescent="0.25">
      <c r="A496" t="s">
        <v>20</v>
      </c>
      <c r="B496" t="s">
        <v>21</v>
      </c>
      <c r="C496" t="s">
        <v>40</v>
      </c>
      <c r="D496" t="s">
        <v>23</v>
      </c>
      <c r="E496" t="s">
        <v>24</v>
      </c>
      <c r="F496">
        <v>54</v>
      </c>
      <c r="G496">
        <v>64</v>
      </c>
      <c r="H496">
        <v>68</v>
      </c>
      <c r="J496">
        <v>54</v>
      </c>
      <c r="K496">
        <v>7.3484692279999999</v>
      </c>
      <c r="L496">
        <v>54</v>
      </c>
      <c r="M496">
        <v>68</v>
      </c>
      <c r="N496">
        <v>186</v>
      </c>
      <c r="O496">
        <v>62</v>
      </c>
      <c r="P496">
        <v>59</v>
      </c>
      <c r="Q496">
        <v>1</v>
      </c>
      <c r="R496">
        <v>7.87</v>
      </c>
      <c r="S496" t="s">
        <v>41</v>
      </c>
      <c r="T496" t="s">
        <v>42</v>
      </c>
      <c r="U496">
        <v>11</v>
      </c>
    </row>
    <row r="497" spans="1:21" x14ac:dyDescent="0.25">
      <c r="A497" t="s">
        <v>34</v>
      </c>
      <c r="B497" t="s">
        <v>39</v>
      </c>
      <c r="C497" t="s">
        <v>40</v>
      </c>
      <c r="D497" t="s">
        <v>23</v>
      </c>
      <c r="E497" t="s">
        <v>29</v>
      </c>
      <c r="F497">
        <v>68</v>
      </c>
      <c r="G497">
        <v>64</v>
      </c>
      <c r="H497">
        <v>66</v>
      </c>
      <c r="J497">
        <v>68</v>
      </c>
      <c r="K497">
        <v>8.2462112510000001</v>
      </c>
      <c r="L497">
        <v>64</v>
      </c>
      <c r="M497">
        <v>68</v>
      </c>
      <c r="N497">
        <v>198</v>
      </c>
      <c r="O497">
        <v>66</v>
      </c>
      <c r="P497">
        <v>67</v>
      </c>
      <c r="Q497">
        <v>3</v>
      </c>
      <c r="R497">
        <v>8.1199999999999992</v>
      </c>
      <c r="S497" t="s">
        <v>41</v>
      </c>
      <c r="T497" t="s">
        <v>42</v>
      </c>
      <c r="U497">
        <v>11</v>
      </c>
    </row>
    <row r="498" spans="1:21" x14ac:dyDescent="0.25">
      <c r="A498" t="s">
        <v>20</v>
      </c>
      <c r="B498" t="s">
        <v>27</v>
      </c>
      <c r="C498" t="s">
        <v>28</v>
      </c>
      <c r="D498" t="s">
        <v>23</v>
      </c>
      <c r="E498" t="s">
        <v>24</v>
      </c>
      <c r="F498">
        <v>54</v>
      </c>
      <c r="G498">
        <v>48</v>
      </c>
      <c r="H498">
        <v>52</v>
      </c>
      <c r="J498">
        <v>54</v>
      </c>
      <c r="K498">
        <v>7.3484692279999999</v>
      </c>
      <c r="L498">
        <v>48</v>
      </c>
      <c r="M498">
        <v>54</v>
      </c>
      <c r="N498">
        <v>154</v>
      </c>
      <c r="O498">
        <v>51.333333330000002</v>
      </c>
      <c r="P498">
        <v>53</v>
      </c>
      <c r="Q498">
        <v>3</v>
      </c>
      <c r="R498">
        <v>7.16</v>
      </c>
      <c r="S498" t="s">
        <v>30</v>
      </c>
      <c r="T498" t="s">
        <v>31</v>
      </c>
      <c r="U498">
        <v>12</v>
      </c>
    </row>
    <row r="499" spans="1:21" x14ac:dyDescent="0.25">
      <c r="A499" t="s">
        <v>20</v>
      </c>
      <c r="B499" t="s">
        <v>39</v>
      </c>
      <c r="C499" t="s">
        <v>28</v>
      </c>
      <c r="D499" t="s">
        <v>37</v>
      </c>
      <c r="E499" t="s">
        <v>29</v>
      </c>
      <c r="F499">
        <v>59</v>
      </c>
      <c r="G499">
        <v>78</v>
      </c>
      <c r="H499">
        <v>76</v>
      </c>
      <c r="J499">
        <v>59</v>
      </c>
      <c r="K499">
        <v>7.6811457479999996</v>
      </c>
      <c r="L499">
        <v>59</v>
      </c>
      <c r="M499">
        <v>78</v>
      </c>
      <c r="N499">
        <v>213</v>
      </c>
      <c r="O499">
        <v>71</v>
      </c>
      <c r="P499">
        <v>67.5</v>
      </c>
      <c r="Q499">
        <v>2</v>
      </c>
      <c r="R499">
        <v>8.43</v>
      </c>
      <c r="S499" t="s">
        <v>30</v>
      </c>
      <c r="T499" t="s">
        <v>31</v>
      </c>
      <c r="U499">
        <v>12</v>
      </c>
    </row>
    <row r="500" spans="1:21" x14ac:dyDescent="0.25">
      <c r="A500" t="s">
        <v>20</v>
      </c>
      <c r="B500" t="s">
        <v>21</v>
      </c>
      <c r="C500" t="s">
        <v>50</v>
      </c>
      <c r="D500" t="s">
        <v>23</v>
      </c>
      <c r="E500" t="s">
        <v>24</v>
      </c>
      <c r="F500">
        <v>66</v>
      </c>
      <c r="G500">
        <v>69</v>
      </c>
      <c r="H500">
        <v>68</v>
      </c>
      <c r="J500">
        <v>66</v>
      </c>
      <c r="K500">
        <v>8.1240384050000003</v>
      </c>
      <c r="L500">
        <v>66</v>
      </c>
      <c r="M500">
        <v>69</v>
      </c>
      <c r="N500">
        <v>203</v>
      </c>
      <c r="O500">
        <v>67.666666669999998</v>
      </c>
      <c r="P500">
        <v>67</v>
      </c>
      <c r="Q500">
        <v>2</v>
      </c>
      <c r="R500">
        <v>8.23</v>
      </c>
      <c r="S500" t="s">
        <v>30</v>
      </c>
      <c r="T500" t="s">
        <v>42</v>
      </c>
      <c r="U500">
        <v>16</v>
      </c>
    </row>
    <row r="501" spans="1:21" x14ac:dyDescent="0.25">
      <c r="A501" t="s">
        <v>34</v>
      </c>
      <c r="B501" t="s">
        <v>64</v>
      </c>
      <c r="C501" t="s">
        <v>28</v>
      </c>
      <c r="D501" t="s">
        <v>23</v>
      </c>
      <c r="E501" t="s">
        <v>24</v>
      </c>
      <c r="F501">
        <v>76</v>
      </c>
      <c r="G501">
        <v>71</v>
      </c>
      <c r="H501">
        <v>72</v>
      </c>
      <c r="J501">
        <v>76</v>
      </c>
      <c r="K501">
        <v>8.7177978869999997</v>
      </c>
      <c r="L501">
        <v>71</v>
      </c>
      <c r="M501">
        <v>76</v>
      </c>
      <c r="N501">
        <v>219</v>
      </c>
      <c r="O501">
        <v>73</v>
      </c>
      <c r="P501">
        <v>74</v>
      </c>
      <c r="Q501">
        <v>3</v>
      </c>
      <c r="R501">
        <v>8.5399999999999991</v>
      </c>
      <c r="S501" t="s">
        <v>30</v>
      </c>
      <c r="T501" t="s">
        <v>31</v>
      </c>
      <c r="U501">
        <v>12</v>
      </c>
    </row>
    <row r="502" spans="1:21" x14ac:dyDescent="0.25">
      <c r="A502" t="s">
        <v>20</v>
      </c>
      <c r="B502" t="s">
        <v>39</v>
      </c>
      <c r="C502" t="s">
        <v>32</v>
      </c>
      <c r="D502" t="s">
        <v>23</v>
      </c>
      <c r="E502" t="s">
        <v>24</v>
      </c>
      <c r="F502">
        <v>74</v>
      </c>
      <c r="G502">
        <v>79</v>
      </c>
      <c r="H502">
        <v>82</v>
      </c>
      <c r="J502">
        <v>74</v>
      </c>
      <c r="K502">
        <v>8.6023252669999994</v>
      </c>
      <c r="L502">
        <v>74</v>
      </c>
      <c r="M502">
        <v>82</v>
      </c>
      <c r="N502">
        <v>235</v>
      </c>
      <c r="O502">
        <v>78.333333330000002</v>
      </c>
      <c r="P502">
        <v>76.5</v>
      </c>
      <c r="Q502">
        <v>1</v>
      </c>
      <c r="R502">
        <v>8.85</v>
      </c>
      <c r="S502" t="s">
        <v>33</v>
      </c>
      <c r="T502" t="s">
        <v>26</v>
      </c>
      <c r="U502">
        <v>15</v>
      </c>
    </row>
    <row r="503" spans="1:21" x14ac:dyDescent="0.25">
      <c r="A503" t="s">
        <v>20</v>
      </c>
      <c r="B503" t="s">
        <v>21</v>
      </c>
      <c r="C503" t="s">
        <v>36</v>
      </c>
      <c r="D503" t="s">
        <v>23</v>
      </c>
      <c r="E503" t="s">
        <v>29</v>
      </c>
      <c r="F503">
        <v>94</v>
      </c>
      <c r="G503">
        <v>87</v>
      </c>
      <c r="H503">
        <v>92</v>
      </c>
      <c r="J503">
        <v>94</v>
      </c>
      <c r="K503">
        <v>9.6953597150000004</v>
      </c>
      <c r="L503">
        <v>87</v>
      </c>
      <c r="M503">
        <v>94</v>
      </c>
      <c r="N503">
        <v>273</v>
      </c>
      <c r="O503">
        <v>91</v>
      </c>
      <c r="P503">
        <v>93</v>
      </c>
      <c r="Q503">
        <v>3</v>
      </c>
      <c r="R503">
        <v>9.5399999999999991</v>
      </c>
      <c r="S503" t="s">
        <v>38</v>
      </c>
      <c r="T503" t="s">
        <v>26</v>
      </c>
      <c r="U503">
        <v>18</v>
      </c>
    </row>
    <row r="504" spans="1:21" x14ac:dyDescent="0.25">
      <c r="A504" t="s">
        <v>34</v>
      </c>
      <c r="B504" t="s">
        <v>27</v>
      </c>
      <c r="C504" t="s">
        <v>28</v>
      </c>
      <c r="D504" t="s">
        <v>37</v>
      </c>
      <c r="E504" t="s">
        <v>24</v>
      </c>
      <c r="F504">
        <v>63</v>
      </c>
      <c r="G504">
        <v>61</v>
      </c>
      <c r="H504">
        <v>54</v>
      </c>
      <c r="J504">
        <v>63</v>
      </c>
      <c r="K504">
        <v>7.937253933</v>
      </c>
      <c r="L504">
        <v>54</v>
      </c>
      <c r="M504">
        <v>63</v>
      </c>
      <c r="N504">
        <v>178</v>
      </c>
      <c r="O504">
        <v>59.333333330000002</v>
      </c>
      <c r="P504">
        <v>62</v>
      </c>
      <c r="Q504">
        <v>4</v>
      </c>
      <c r="R504">
        <v>7.7</v>
      </c>
      <c r="S504" t="s">
        <v>30</v>
      </c>
      <c r="T504" t="s">
        <v>31</v>
      </c>
      <c r="U504">
        <v>12</v>
      </c>
    </row>
    <row r="505" spans="1:21" x14ac:dyDescent="0.25">
      <c r="A505" t="s">
        <v>20</v>
      </c>
      <c r="B505" t="s">
        <v>64</v>
      </c>
      <c r="C505" t="s">
        <v>36</v>
      </c>
      <c r="D505" t="s">
        <v>23</v>
      </c>
      <c r="E505" t="s">
        <v>29</v>
      </c>
      <c r="F505">
        <v>95</v>
      </c>
      <c r="G505">
        <v>89</v>
      </c>
      <c r="H505">
        <v>92</v>
      </c>
      <c r="J505">
        <v>95</v>
      </c>
      <c r="K505">
        <v>9.7467943449999996</v>
      </c>
      <c r="L505">
        <v>89</v>
      </c>
      <c r="M505">
        <v>95</v>
      </c>
      <c r="N505">
        <v>276</v>
      </c>
      <c r="O505">
        <v>92</v>
      </c>
      <c r="P505">
        <v>93.5</v>
      </c>
      <c r="Q505">
        <v>3</v>
      </c>
      <c r="R505">
        <v>9.59</v>
      </c>
      <c r="S505" t="s">
        <v>38</v>
      </c>
      <c r="T505" t="s">
        <v>26</v>
      </c>
      <c r="U505">
        <v>18</v>
      </c>
    </row>
    <row r="506" spans="1:21" x14ac:dyDescent="0.25">
      <c r="A506" t="s">
        <v>20</v>
      </c>
      <c r="B506" t="s">
        <v>39</v>
      </c>
      <c r="C506" t="s">
        <v>32</v>
      </c>
      <c r="D506" t="s">
        <v>37</v>
      </c>
      <c r="E506" t="s">
        <v>24</v>
      </c>
      <c r="F506">
        <v>40</v>
      </c>
      <c r="G506">
        <v>59</v>
      </c>
      <c r="H506">
        <v>54</v>
      </c>
      <c r="J506">
        <v>40</v>
      </c>
      <c r="K506">
        <v>6.32455532</v>
      </c>
      <c r="L506">
        <v>40</v>
      </c>
      <c r="M506">
        <v>59</v>
      </c>
      <c r="N506">
        <v>153</v>
      </c>
      <c r="O506">
        <v>51</v>
      </c>
      <c r="P506">
        <v>47</v>
      </c>
      <c r="Q506">
        <v>2</v>
      </c>
      <c r="R506">
        <v>7.14</v>
      </c>
      <c r="S506" t="s">
        <v>33</v>
      </c>
      <c r="T506" t="s">
        <v>26</v>
      </c>
      <c r="U506">
        <v>15</v>
      </c>
    </row>
    <row r="507" spans="1:21" x14ac:dyDescent="0.25">
      <c r="A507" t="s">
        <v>20</v>
      </c>
      <c r="B507" t="s">
        <v>21</v>
      </c>
      <c r="C507" t="s">
        <v>50</v>
      </c>
      <c r="D507" t="s">
        <v>23</v>
      </c>
      <c r="E507" t="s">
        <v>24</v>
      </c>
      <c r="F507">
        <v>82</v>
      </c>
      <c r="G507">
        <v>82</v>
      </c>
      <c r="H507">
        <v>80</v>
      </c>
      <c r="J507">
        <v>82</v>
      </c>
      <c r="K507">
        <v>9.0553851380000001</v>
      </c>
      <c r="L507">
        <v>80</v>
      </c>
      <c r="M507">
        <v>82</v>
      </c>
      <c r="N507">
        <v>244</v>
      </c>
      <c r="O507">
        <v>81.333333330000002</v>
      </c>
      <c r="P507">
        <v>82</v>
      </c>
      <c r="Q507">
        <v>4</v>
      </c>
      <c r="R507">
        <v>9.02</v>
      </c>
      <c r="S507" t="s">
        <v>30</v>
      </c>
      <c r="T507" t="s">
        <v>42</v>
      </c>
      <c r="U507">
        <v>16</v>
      </c>
    </row>
    <row r="508" spans="1:21" x14ac:dyDescent="0.25">
      <c r="A508" t="s">
        <v>34</v>
      </c>
      <c r="B508" t="s">
        <v>35</v>
      </c>
      <c r="C508" t="s">
        <v>40</v>
      </c>
      <c r="D508" t="s">
        <v>23</v>
      </c>
      <c r="E508" t="s">
        <v>24</v>
      </c>
      <c r="F508">
        <v>68</v>
      </c>
      <c r="G508">
        <v>70</v>
      </c>
      <c r="H508">
        <v>66</v>
      </c>
      <c r="J508">
        <v>68</v>
      </c>
      <c r="K508">
        <v>8.2462112510000001</v>
      </c>
      <c r="L508">
        <v>66</v>
      </c>
      <c r="M508">
        <v>70</v>
      </c>
      <c r="N508">
        <v>204</v>
      </c>
      <c r="O508">
        <v>68</v>
      </c>
      <c r="P508">
        <v>68</v>
      </c>
      <c r="Q508">
        <v>4</v>
      </c>
      <c r="R508">
        <v>8.25</v>
      </c>
      <c r="S508" t="s">
        <v>41</v>
      </c>
      <c r="T508" t="s">
        <v>42</v>
      </c>
      <c r="U508">
        <v>11</v>
      </c>
    </row>
    <row r="509" spans="1:21" x14ac:dyDescent="0.25">
      <c r="A509" t="s">
        <v>34</v>
      </c>
      <c r="B509" t="s">
        <v>21</v>
      </c>
      <c r="C509" t="s">
        <v>22</v>
      </c>
      <c r="D509" t="s">
        <v>37</v>
      </c>
      <c r="E509" t="s">
        <v>24</v>
      </c>
      <c r="F509">
        <v>55</v>
      </c>
      <c r="G509">
        <v>59</v>
      </c>
      <c r="H509">
        <v>54</v>
      </c>
      <c r="J509">
        <v>55</v>
      </c>
      <c r="K509">
        <v>7.416198487</v>
      </c>
      <c r="L509">
        <v>54</v>
      </c>
      <c r="M509">
        <v>59</v>
      </c>
      <c r="N509">
        <v>168</v>
      </c>
      <c r="O509">
        <v>56</v>
      </c>
      <c r="P509">
        <v>55</v>
      </c>
      <c r="Q509">
        <v>4</v>
      </c>
      <c r="R509">
        <v>7.48</v>
      </c>
      <c r="S509" t="s">
        <v>25</v>
      </c>
      <c r="T509" t="s">
        <v>26</v>
      </c>
      <c r="U509">
        <v>17</v>
      </c>
    </row>
    <row r="510" spans="1:21" x14ac:dyDescent="0.25">
      <c r="A510" t="s">
        <v>34</v>
      </c>
      <c r="B510" t="s">
        <v>27</v>
      </c>
      <c r="C510" t="s">
        <v>32</v>
      </c>
      <c r="D510" t="s">
        <v>23</v>
      </c>
      <c r="E510" t="s">
        <v>24</v>
      </c>
      <c r="F510">
        <v>79</v>
      </c>
      <c r="G510">
        <v>78</v>
      </c>
      <c r="H510">
        <v>77</v>
      </c>
      <c r="J510">
        <v>79</v>
      </c>
      <c r="K510">
        <v>8.8881944169999993</v>
      </c>
      <c r="L510">
        <v>77</v>
      </c>
      <c r="M510">
        <v>79</v>
      </c>
      <c r="N510">
        <v>234</v>
      </c>
      <c r="O510">
        <v>78</v>
      </c>
      <c r="P510">
        <v>78.5</v>
      </c>
      <c r="Q510">
        <v>4</v>
      </c>
      <c r="R510">
        <v>8.83</v>
      </c>
      <c r="S510" t="s">
        <v>33</v>
      </c>
      <c r="T510" t="s">
        <v>26</v>
      </c>
      <c r="U510">
        <v>15</v>
      </c>
    </row>
    <row r="511" spans="1:21" x14ac:dyDescent="0.25">
      <c r="A511" t="s">
        <v>20</v>
      </c>
      <c r="B511" t="s">
        <v>27</v>
      </c>
      <c r="C511" t="s">
        <v>22</v>
      </c>
      <c r="D511" t="s">
        <v>23</v>
      </c>
      <c r="E511" t="s">
        <v>24</v>
      </c>
      <c r="F511">
        <v>86</v>
      </c>
      <c r="G511">
        <v>92</v>
      </c>
      <c r="H511">
        <v>87</v>
      </c>
      <c r="J511">
        <v>86</v>
      </c>
      <c r="K511">
        <v>9.2736184949999991</v>
      </c>
      <c r="L511">
        <v>86</v>
      </c>
      <c r="M511">
        <v>92</v>
      </c>
      <c r="N511">
        <v>265</v>
      </c>
      <c r="O511">
        <v>88.333333330000002</v>
      </c>
      <c r="P511">
        <v>86.5</v>
      </c>
      <c r="Q511">
        <v>2</v>
      </c>
      <c r="R511">
        <v>9.4</v>
      </c>
      <c r="S511" t="s">
        <v>25</v>
      </c>
      <c r="T511" t="s">
        <v>26</v>
      </c>
      <c r="U511">
        <v>17</v>
      </c>
    </row>
    <row r="512" spans="1:21" x14ac:dyDescent="0.25">
      <c r="A512" t="s">
        <v>34</v>
      </c>
      <c r="B512" t="s">
        <v>39</v>
      </c>
      <c r="C512" t="s">
        <v>28</v>
      </c>
      <c r="D512" t="s">
        <v>23</v>
      </c>
      <c r="E512" t="s">
        <v>24</v>
      </c>
      <c r="F512">
        <v>76</v>
      </c>
      <c r="G512">
        <v>71</v>
      </c>
      <c r="H512">
        <v>73</v>
      </c>
      <c r="J512">
        <v>76</v>
      </c>
      <c r="K512">
        <v>8.7177978869999997</v>
      </c>
      <c r="L512">
        <v>71</v>
      </c>
      <c r="M512">
        <v>76</v>
      </c>
      <c r="N512">
        <v>220</v>
      </c>
      <c r="O512">
        <v>73.333333330000002</v>
      </c>
      <c r="P512">
        <v>74.5</v>
      </c>
      <c r="Q512">
        <v>3</v>
      </c>
      <c r="R512">
        <v>8.56</v>
      </c>
      <c r="S512" t="s">
        <v>30</v>
      </c>
      <c r="T512" t="s">
        <v>31</v>
      </c>
      <c r="U512">
        <v>12</v>
      </c>
    </row>
    <row r="513" spans="1:21" x14ac:dyDescent="0.25">
      <c r="A513" t="s">
        <v>34</v>
      </c>
      <c r="B513" t="s">
        <v>35</v>
      </c>
      <c r="C513" t="s">
        <v>50</v>
      </c>
      <c r="D513" t="s">
        <v>23</v>
      </c>
      <c r="E513" t="s">
        <v>24</v>
      </c>
      <c r="F513">
        <v>64</v>
      </c>
      <c r="G513">
        <v>50</v>
      </c>
      <c r="H513">
        <v>43</v>
      </c>
      <c r="J513">
        <v>64</v>
      </c>
      <c r="K513">
        <v>8</v>
      </c>
      <c r="L513">
        <v>43</v>
      </c>
      <c r="M513">
        <v>64</v>
      </c>
      <c r="N513">
        <v>157</v>
      </c>
      <c r="O513">
        <v>52.333333330000002</v>
      </c>
      <c r="P513">
        <v>57</v>
      </c>
      <c r="Q513">
        <v>4</v>
      </c>
      <c r="R513">
        <v>7.23</v>
      </c>
      <c r="S513" t="s">
        <v>30</v>
      </c>
      <c r="T513" t="s">
        <v>42</v>
      </c>
      <c r="U513">
        <v>16</v>
      </c>
    </row>
    <row r="514" spans="1:21" x14ac:dyDescent="0.25">
      <c r="A514" t="s">
        <v>34</v>
      </c>
      <c r="B514" t="s">
        <v>39</v>
      </c>
      <c r="C514" t="s">
        <v>50</v>
      </c>
      <c r="D514" t="s">
        <v>37</v>
      </c>
      <c r="E514" t="s">
        <v>24</v>
      </c>
      <c r="F514">
        <v>62</v>
      </c>
      <c r="G514">
        <v>49</v>
      </c>
      <c r="H514">
        <v>52</v>
      </c>
      <c r="J514">
        <v>62</v>
      </c>
      <c r="K514">
        <v>7.8740078740000001</v>
      </c>
      <c r="L514">
        <v>49</v>
      </c>
      <c r="M514">
        <v>62</v>
      </c>
      <c r="N514">
        <v>163</v>
      </c>
      <c r="O514">
        <v>54.333333330000002</v>
      </c>
      <c r="P514">
        <v>57</v>
      </c>
      <c r="Q514">
        <v>3</v>
      </c>
      <c r="R514">
        <v>7.37</v>
      </c>
      <c r="S514" t="s">
        <v>30</v>
      </c>
      <c r="T514" t="s">
        <v>42</v>
      </c>
      <c r="U514">
        <v>16</v>
      </c>
    </row>
    <row r="515" spans="1:21" x14ac:dyDescent="0.25">
      <c r="A515" t="s">
        <v>20</v>
      </c>
      <c r="B515" t="s">
        <v>21</v>
      </c>
      <c r="C515" t="s">
        <v>50</v>
      </c>
      <c r="D515" t="s">
        <v>23</v>
      </c>
      <c r="E515" t="s">
        <v>29</v>
      </c>
      <c r="F515">
        <v>54</v>
      </c>
      <c r="G515">
        <v>61</v>
      </c>
      <c r="H515">
        <v>62</v>
      </c>
      <c r="J515">
        <v>54</v>
      </c>
      <c r="K515">
        <v>7.3484692279999999</v>
      </c>
      <c r="L515">
        <v>54</v>
      </c>
      <c r="M515">
        <v>62</v>
      </c>
      <c r="N515">
        <v>177</v>
      </c>
      <c r="O515">
        <v>59</v>
      </c>
      <c r="P515">
        <v>57.5</v>
      </c>
      <c r="Q515">
        <v>1</v>
      </c>
      <c r="R515">
        <v>7.68</v>
      </c>
      <c r="S515" t="s">
        <v>30</v>
      </c>
      <c r="T515" t="s">
        <v>42</v>
      </c>
      <c r="U515">
        <v>16</v>
      </c>
    </row>
    <row r="516" spans="1:21" x14ac:dyDescent="0.25">
      <c r="A516" t="s">
        <v>20</v>
      </c>
      <c r="B516" t="s">
        <v>21</v>
      </c>
      <c r="C516" t="s">
        <v>32</v>
      </c>
      <c r="D516" t="s">
        <v>37</v>
      </c>
      <c r="E516" t="s">
        <v>29</v>
      </c>
      <c r="F516">
        <v>77</v>
      </c>
      <c r="G516">
        <v>97</v>
      </c>
      <c r="H516">
        <v>94</v>
      </c>
      <c r="J516">
        <v>77</v>
      </c>
      <c r="K516">
        <v>8.7749643870000007</v>
      </c>
      <c r="L516">
        <v>77</v>
      </c>
      <c r="M516">
        <v>97</v>
      </c>
      <c r="N516">
        <v>268</v>
      </c>
      <c r="O516">
        <v>89.333333330000002</v>
      </c>
      <c r="P516">
        <v>85.5</v>
      </c>
      <c r="Q516">
        <v>2</v>
      </c>
      <c r="R516">
        <v>9.4499999999999993</v>
      </c>
      <c r="S516" t="s">
        <v>33</v>
      </c>
      <c r="T516" t="s">
        <v>26</v>
      </c>
      <c r="U516">
        <v>15</v>
      </c>
    </row>
    <row r="517" spans="1:21" x14ac:dyDescent="0.25">
      <c r="A517" t="s">
        <v>20</v>
      </c>
      <c r="B517" t="s">
        <v>27</v>
      </c>
      <c r="C517" t="s">
        <v>50</v>
      </c>
      <c r="D517" t="s">
        <v>23</v>
      </c>
      <c r="E517" t="s">
        <v>29</v>
      </c>
      <c r="F517">
        <v>76</v>
      </c>
      <c r="G517">
        <v>87</v>
      </c>
      <c r="H517">
        <v>85</v>
      </c>
      <c r="J517">
        <v>76</v>
      </c>
      <c r="K517">
        <v>8.7177978869999997</v>
      </c>
      <c r="L517">
        <v>76</v>
      </c>
      <c r="M517">
        <v>87</v>
      </c>
      <c r="N517">
        <v>248</v>
      </c>
      <c r="O517">
        <v>82.666666669999998</v>
      </c>
      <c r="P517">
        <v>80.5</v>
      </c>
      <c r="Q517">
        <v>2</v>
      </c>
      <c r="R517">
        <v>9.09</v>
      </c>
      <c r="S517" t="s">
        <v>30</v>
      </c>
      <c r="T517" t="s">
        <v>42</v>
      </c>
      <c r="U517">
        <v>16</v>
      </c>
    </row>
    <row r="518" spans="1:21" x14ac:dyDescent="0.25">
      <c r="A518" t="s">
        <v>20</v>
      </c>
      <c r="B518" t="s">
        <v>39</v>
      </c>
      <c r="C518" t="s">
        <v>28</v>
      </c>
      <c r="D518" t="s">
        <v>23</v>
      </c>
      <c r="E518" t="s">
        <v>24</v>
      </c>
      <c r="F518">
        <v>74</v>
      </c>
      <c r="G518">
        <v>89</v>
      </c>
      <c r="H518">
        <v>84</v>
      </c>
      <c r="J518">
        <v>74</v>
      </c>
      <c r="K518">
        <v>8.6023252669999994</v>
      </c>
      <c r="L518">
        <v>74</v>
      </c>
      <c r="M518">
        <v>89</v>
      </c>
      <c r="N518">
        <v>247</v>
      </c>
      <c r="O518">
        <v>82.333333330000002</v>
      </c>
      <c r="P518">
        <v>79</v>
      </c>
      <c r="Q518">
        <v>2</v>
      </c>
      <c r="R518">
        <v>9.07</v>
      </c>
      <c r="S518" t="s">
        <v>30</v>
      </c>
      <c r="T518" t="s">
        <v>31</v>
      </c>
      <c r="U518">
        <v>12</v>
      </c>
    </row>
    <row r="519" spans="1:21" x14ac:dyDescent="0.25">
      <c r="A519" t="s">
        <v>20</v>
      </c>
      <c r="B519" t="s">
        <v>64</v>
      </c>
      <c r="C519" t="s">
        <v>28</v>
      </c>
      <c r="D519" t="s">
        <v>23</v>
      </c>
      <c r="E519" t="s">
        <v>29</v>
      </c>
      <c r="F519">
        <v>66</v>
      </c>
      <c r="G519">
        <v>74</v>
      </c>
      <c r="H519">
        <v>73</v>
      </c>
      <c r="J519">
        <v>66</v>
      </c>
      <c r="K519">
        <v>8.1240384050000003</v>
      </c>
      <c r="L519">
        <v>66</v>
      </c>
      <c r="M519">
        <v>74</v>
      </c>
      <c r="N519">
        <v>213</v>
      </c>
      <c r="O519">
        <v>71</v>
      </c>
      <c r="P519">
        <v>69.5</v>
      </c>
      <c r="Q519">
        <v>2</v>
      </c>
      <c r="R519">
        <v>8.43</v>
      </c>
      <c r="S519" t="s">
        <v>30</v>
      </c>
      <c r="T519" t="s">
        <v>31</v>
      </c>
      <c r="U519">
        <v>12</v>
      </c>
    </row>
    <row r="520" spans="1:21" x14ac:dyDescent="0.25">
      <c r="A520" t="s">
        <v>20</v>
      </c>
      <c r="B520" t="s">
        <v>39</v>
      </c>
      <c r="C520" t="s">
        <v>50</v>
      </c>
      <c r="D520" t="s">
        <v>23</v>
      </c>
      <c r="E520" t="s">
        <v>29</v>
      </c>
      <c r="F520">
        <v>66</v>
      </c>
      <c r="G520">
        <v>78</v>
      </c>
      <c r="H520">
        <v>78</v>
      </c>
      <c r="J520">
        <v>66</v>
      </c>
      <c r="K520">
        <v>8.1240384050000003</v>
      </c>
      <c r="L520">
        <v>66</v>
      </c>
      <c r="M520">
        <v>78</v>
      </c>
      <c r="N520">
        <v>222</v>
      </c>
      <c r="O520">
        <v>74</v>
      </c>
      <c r="P520">
        <v>72</v>
      </c>
      <c r="Q520">
        <v>1</v>
      </c>
      <c r="R520">
        <v>8.6</v>
      </c>
      <c r="S520" t="s">
        <v>30</v>
      </c>
      <c r="T520" t="s">
        <v>42</v>
      </c>
      <c r="U520">
        <v>16</v>
      </c>
    </row>
    <row r="521" spans="1:21" x14ac:dyDescent="0.25">
      <c r="A521" t="s">
        <v>20</v>
      </c>
      <c r="B521" t="s">
        <v>21</v>
      </c>
      <c r="C521" t="s">
        <v>40</v>
      </c>
      <c r="D521" t="s">
        <v>37</v>
      </c>
      <c r="E521" t="s">
        <v>29</v>
      </c>
      <c r="F521">
        <v>67</v>
      </c>
      <c r="G521">
        <v>78</v>
      </c>
      <c r="H521">
        <v>79</v>
      </c>
      <c r="J521">
        <v>67</v>
      </c>
      <c r="K521">
        <v>8.1853527719999999</v>
      </c>
      <c r="L521">
        <v>67</v>
      </c>
      <c r="M521">
        <v>79</v>
      </c>
      <c r="N521">
        <v>224</v>
      </c>
      <c r="O521">
        <v>74.666666669999998</v>
      </c>
      <c r="P521">
        <v>72.5</v>
      </c>
      <c r="Q521">
        <v>1</v>
      </c>
      <c r="R521">
        <v>8.64</v>
      </c>
      <c r="S521" t="s">
        <v>41</v>
      </c>
      <c r="T521" t="s">
        <v>42</v>
      </c>
      <c r="U521">
        <v>11</v>
      </c>
    </row>
    <row r="522" spans="1:21" x14ac:dyDescent="0.25">
      <c r="A522" t="s">
        <v>34</v>
      </c>
      <c r="B522" t="s">
        <v>39</v>
      </c>
      <c r="C522" t="s">
        <v>28</v>
      </c>
      <c r="D522" t="s">
        <v>23</v>
      </c>
      <c r="E522" t="s">
        <v>24</v>
      </c>
      <c r="F522">
        <v>71</v>
      </c>
      <c r="G522">
        <v>49</v>
      </c>
      <c r="H522">
        <v>52</v>
      </c>
      <c r="J522">
        <v>71</v>
      </c>
      <c r="K522">
        <v>8.4261497730000006</v>
      </c>
      <c r="L522">
        <v>49</v>
      </c>
      <c r="M522">
        <v>71</v>
      </c>
      <c r="N522">
        <v>172</v>
      </c>
      <c r="O522">
        <v>57.333333330000002</v>
      </c>
      <c r="P522">
        <v>61.5</v>
      </c>
      <c r="Q522">
        <v>3</v>
      </c>
      <c r="R522">
        <v>7.57</v>
      </c>
      <c r="S522" t="s">
        <v>30</v>
      </c>
      <c r="T522" t="s">
        <v>31</v>
      </c>
      <c r="U522">
        <v>12</v>
      </c>
    </row>
    <row r="523" spans="1:21" x14ac:dyDescent="0.25">
      <c r="A523" t="s">
        <v>20</v>
      </c>
      <c r="B523" t="s">
        <v>27</v>
      </c>
      <c r="C523" t="s">
        <v>36</v>
      </c>
      <c r="D523" t="s">
        <v>23</v>
      </c>
      <c r="E523" t="s">
        <v>24</v>
      </c>
      <c r="F523">
        <v>91</v>
      </c>
      <c r="G523">
        <v>86</v>
      </c>
      <c r="H523">
        <v>84</v>
      </c>
      <c r="J523">
        <v>91</v>
      </c>
      <c r="K523">
        <v>9.5393920140000006</v>
      </c>
      <c r="L523">
        <v>84</v>
      </c>
      <c r="M523">
        <v>91</v>
      </c>
      <c r="N523">
        <v>261</v>
      </c>
      <c r="O523">
        <v>87</v>
      </c>
      <c r="P523">
        <v>88.5</v>
      </c>
      <c r="Q523">
        <v>4</v>
      </c>
      <c r="R523">
        <v>9.33</v>
      </c>
      <c r="S523" t="s">
        <v>38</v>
      </c>
      <c r="T523" t="s">
        <v>26</v>
      </c>
      <c r="U523">
        <v>18</v>
      </c>
    </row>
    <row r="524" spans="1:21" x14ac:dyDescent="0.25">
      <c r="A524" t="s">
        <v>34</v>
      </c>
      <c r="B524" t="s">
        <v>39</v>
      </c>
      <c r="C524" t="s">
        <v>22</v>
      </c>
      <c r="D524" t="s">
        <v>23</v>
      </c>
      <c r="E524" t="s">
        <v>24</v>
      </c>
      <c r="F524">
        <v>69</v>
      </c>
      <c r="G524">
        <v>58</v>
      </c>
      <c r="H524">
        <v>57</v>
      </c>
      <c r="J524">
        <v>69</v>
      </c>
      <c r="K524">
        <v>8.3066238630000004</v>
      </c>
      <c r="L524">
        <v>57</v>
      </c>
      <c r="M524">
        <v>69</v>
      </c>
      <c r="N524">
        <v>184</v>
      </c>
      <c r="O524">
        <v>61.333333330000002</v>
      </c>
      <c r="P524">
        <v>63.5</v>
      </c>
      <c r="Q524">
        <v>4</v>
      </c>
      <c r="R524">
        <v>7.83</v>
      </c>
      <c r="S524" t="s">
        <v>25</v>
      </c>
      <c r="T524" t="s">
        <v>26</v>
      </c>
      <c r="U524">
        <v>17</v>
      </c>
    </row>
    <row r="525" spans="1:21" x14ac:dyDescent="0.25">
      <c r="A525" t="s">
        <v>34</v>
      </c>
      <c r="B525" t="s">
        <v>27</v>
      </c>
      <c r="C525" t="s">
        <v>32</v>
      </c>
      <c r="D525" t="s">
        <v>37</v>
      </c>
      <c r="E525" t="s">
        <v>24</v>
      </c>
      <c r="F525">
        <v>54</v>
      </c>
      <c r="G525">
        <v>59</v>
      </c>
      <c r="H525">
        <v>50</v>
      </c>
      <c r="J525">
        <v>54</v>
      </c>
      <c r="K525">
        <v>7.3484692279999999</v>
      </c>
      <c r="L525">
        <v>50</v>
      </c>
      <c r="M525">
        <v>59</v>
      </c>
      <c r="N525">
        <v>163</v>
      </c>
      <c r="O525">
        <v>54.333333330000002</v>
      </c>
      <c r="P525">
        <v>54</v>
      </c>
      <c r="Q525">
        <v>4</v>
      </c>
      <c r="R525">
        <v>7.37</v>
      </c>
      <c r="S525" t="s">
        <v>33</v>
      </c>
      <c r="T525" t="s">
        <v>26</v>
      </c>
      <c r="U525">
        <v>15</v>
      </c>
    </row>
    <row r="526" spans="1:21" x14ac:dyDescent="0.25">
      <c r="A526" t="s">
        <v>34</v>
      </c>
      <c r="B526" t="s">
        <v>27</v>
      </c>
      <c r="C526" t="s">
        <v>40</v>
      </c>
      <c r="D526" t="s">
        <v>23</v>
      </c>
      <c r="E526" t="s">
        <v>29</v>
      </c>
      <c r="F526">
        <v>53</v>
      </c>
      <c r="G526">
        <v>52</v>
      </c>
      <c r="H526">
        <v>49</v>
      </c>
      <c r="J526">
        <v>53</v>
      </c>
      <c r="K526">
        <v>7.2801098890000002</v>
      </c>
      <c r="L526">
        <v>49</v>
      </c>
      <c r="M526">
        <v>53</v>
      </c>
      <c r="N526">
        <v>154</v>
      </c>
      <c r="O526">
        <v>51.333333330000002</v>
      </c>
      <c r="P526">
        <v>52.5</v>
      </c>
      <c r="Q526">
        <v>4</v>
      </c>
      <c r="R526">
        <v>7.16</v>
      </c>
      <c r="S526" t="s">
        <v>41</v>
      </c>
      <c r="T526" t="s">
        <v>42</v>
      </c>
      <c r="U526">
        <v>11</v>
      </c>
    </row>
    <row r="527" spans="1:21" x14ac:dyDescent="0.25">
      <c r="A527" t="s">
        <v>34</v>
      </c>
      <c r="B527" t="s">
        <v>64</v>
      </c>
      <c r="C527" t="s">
        <v>28</v>
      </c>
      <c r="D527" t="s">
        <v>23</v>
      </c>
      <c r="E527" t="s">
        <v>24</v>
      </c>
      <c r="F527">
        <v>68</v>
      </c>
      <c r="G527">
        <v>60</v>
      </c>
      <c r="H527">
        <v>59</v>
      </c>
      <c r="J527">
        <v>68</v>
      </c>
      <c r="K527">
        <v>8.2462112510000001</v>
      </c>
      <c r="L527">
        <v>59</v>
      </c>
      <c r="M527">
        <v>68</v>
      </c>
      <c r="N527">
        <v>187</v>
      </c>
      <c r="O527">
        <v>62.333333330000002</v>
      </c>
      <c r="P527">
        <v>64</v>
      </c>
      <c r="Q527">
        <v>4</v>
      </c>
      <c r="R527">
        <v>7.9</v>
      </c>
      <c r="S527" t="s">
        <v>30</v>
      </c>
      <c r="T527" t="s">
        <v>31</v>
      </c>
      <c r="U527">
        <v>12</v>
      </c>
    </row>
    <row r="528" spans="1:21" x14ac:dyDescent="0.25">
      <c r="A528" t="s">
        <v>34</v>
      </c>
      <c r="B528" t="s">
        <v>27</v>
      </c>
      <c r="C528" t="s">
        <v>50</v>
      </c>
      <c r="D528" t="s">
        <v>37</v>
      </c>
      <c r="E528" t="s">
        <v>29</v>
      </c>
      <c r="F528">
        <v>56</v>
      </c>
      <c r="G528">
        <v>61</v>
      </c>
      <c r="H528">
        <v>60</v>
      </c>
      <c r="J528">
        <v>56</v>
      </c>
      <c r="K528">
        <v>7.4833147740000001</v>
      </c>
      <c r="L528">
        <v>56</v>
      </c>
      <c r="M528">
        <v>61</v>
      </c>
      <c r="N528">
        <v>177</v>
      </c>
      <c r="O528">
        <v>59</v>
      </c>
      <c r="P528">
        <v>58</v>
      </c>
      <c r="Q528">
        <v>2</v>
      </c>
      <c r="R528">
        <v>7.68</v>
      </c>
      <c r="S528" t="s">
        <v>30</v>
      </c>
      <c r="T528" t="s">
        <v>42</v>
      </c>
      <c r="U528">
        <v>16</v>
      </c>
    </row>
    <row r="529" spans="1:21" x14ac:dyDescent="0.25">
      <c r="A529" t="s">
        <v>20</v>
      </c>
      <c r="B529" t="s">
        <v>27</v>
      </c>
      <c r="C529" t="s">
        <v>40</v>
      </c>
      <c r="D529" t="s">
        <v>37</v>
      </c>
      <c r="E529" t="s">
        <v>24</v>
      </c>
      <c r="F529">
        <v>36</v>
      </c>
      <c r="G529">
        <v>53</v>
      </c>
      <c r="H529">
        <v>43</v>
      </c>
      <c r="J529">
        <v>36</v>
      </c>
      <c r="K529">
        <v>6</v>
      </c>
      <c r="L529">
        <v>36</v>
      </c>
      <c r="M529">
        <v>53</v>
      </c>
      <c r="N529">
        <v>132</v>
      </c>
      <c r="O529">
        <v>44</v>
      </c>
      <c r="P529">
        <v>39.5</v>
      </c>
      <c r="Q529">
        <v>2</v>
      </c>
      <c r="R529">
        <v>6.63</v>
      </c>
      <c r="S529" t="s">
        <v>41</v>
      </c>
      <c r="T529" t="s">
        <v>42</v>
      </c>
      <c r="U529">
        <v>11</v>
      </c>
    </row>
    <row r="530" spans="1:21" x14ac:dyDescent="0.25">
      <c r="A530" t="s">
        <v>20</v>
      </c>
      <c r="B530" t="s">
        <v>39</v>
      </c>
      <c r="C530" t="s">
        <v>22</v>
      </c>
      <c r="D530" t="s">
        <v>37</v>
      </c>
      <c r="E530" t="s">
        <v>24</v>
      </c>
      <c r="F530">
        <v>29</v>
      </c>
      <c r="G530">
        <v>41</v>
      </c>
      <c r="H530">
        <v>47</v>
      </c>
      <c r="J530">
        <v>29</v>
      </c>
      <c r="K530">
        <v>5.3851648069999998</v>
      </c>
      <c r="L530">
        <v>29</v>
      </c>
      <c r="M530">
        <v>47</v>
      </c>
      <c r="N530">
        <v>117</v>
      </c>
      <c r="O530">
        <v>39</v>
      </c>
      <c r="P530">
        <v>35</v>
      </c>
      <c r="Q530">
        <v>1</v>
      </c>
      <c r="R530">
        <v>6.24</v>
      </c>
      <c r="S530" t="s">
        <v>25</v>
      </c>
      <c r="T530" t="s">
        <v>26</v>
      </c>
      <c r="U530">
        <v>17</v>
      </c>
    </row>
    <row r="531" spans="1:21" x14ac:dyDescent="0.25">
      <c r="A531" t="s">
        <v>20</v>
      </c>
      <c r="B531" t="s">
        <v>27</v>
      </c>
      <c r="C531" t="s">
        <v>36</v>
      </c>
      <c r="D531" t="s">
        <v>23</v>
      </c>
      <c r="E531" t="s">
        <v>24</v>
      </c>
      <c r="F531">
        <v>62</v>
      </c>
      <c r="G531">
        <v>74</v>
      </c>
      <c r="H531">
        <v>70</v>
      </c>
      <c r="J531">
        <v>62</v>
      </c>
      <c r="K531">
        <v>7.8740078740000001</v>
      </c>
      <c r="L531">
        <v>62</v>
      </c>
      <c r="M531">
        <v>74</v>
      </c>
      <c r="N531">
        <v>206</v>
      </c>
      <c r="O531">
        <v>68.666666669999998</v>
      </c>
      <c r="P531">
        <v>66</v>
      </c>
      <c r="Q531">
        <v>2</v>
      </c>
      <c r="R531">
        <v>8.2899999999999991</v>
      </c>
      <c r="S531" t="s">
        <v>38</v>
      </c>
      <c r="T531" t="s">
        <v>26</v>
      </c>
      <c r="U531">
        <v>18</v>
      </c>
    </row>
    <row r="532" spans="1:21" x14ac:dyDescent="0.25">
      <c r="A532" t="s">
        <v>20</v>
      </c>
      <c r="B532" t="s">
        <v>27</v>
      </c>
      <c r="C532" t="s">
        <v>36</v>
      </c>
      <c r="D532" t="s">
        <v>23</v>
      </c>
      <c r="E532" t="s">
        <v>29</v>
      </c>
      <c r="F532">
        <v>68</v>
      </c>
      <c r="G532">
        <v>67</v>
      </c>
      <c r="H532">
        <v>73</v>
      </c>
      <c r="J532">
        <v>68</v>
      </c>
      <c r="K532">
        <v>8.2462112510000001</v>
      </c>
      <c r="L532">
        <v>67</v>
      </c>
      <c r="M532">
        <v>73</v>
      </c>
      <c r="N532">
        <v>208</v>
      </c>
      <c r="O532">
        <v>69.333333330000002</v>
      </c>
      <c r="P532">
        <v>68</v>
      </c>
      <c r="Q532">
        <v>1</v>
      </c>
      <c r="R532">
        <v>8.33</v>
      </c>
      <c r="S532" t="s">
        <v>38</v>
      </c>
      <c r="T532" t="s">
        <v>26</v>
      </c>
      <c r="U532">
        <v>18</v>
      </c>
    </row>
    <row r="533" spans="1:21" x14ac:dyDescent="0.25">
      <c r="A533" t="s">
        <v>20</v>
      </c>
      <c r="B533" t="s">
        <v>27</v>
      </c>
      <c r="C533" t="s">
        <v>50</v>
      </c>
      <c r="D533" t="s">
        <v>23</v>
      </c>
      <c r="E533" t="s">
        <v>24</v>
      </c>
      <c r="F533">
        <v>47</v>
      </c>
      <c r="G533">
        <v>54</v>
      </c>
      <c r="H533">
        <v>53</v>
      </c>
      <c r="J533">
        <v>47</v>
      </c>
      <c r="K533">
        <v>6.8556546000000003</v>
      </c>
      <c r="L533">
        <v>47</v>
      </c>
      <c r="M533">
        <v>54</v>
      </c>
      <c r="N533">
        <v>154</v>
      </c>
      <c r="O533">
        <v>51.333333330000002</v>
      </c>
      <c r="P533">
        <v>50</v>
      </c>
      <c r="Q533">
        <v>2</v>
      </c>
      <c r="R533">
        <v>7.16</v>
      </c>
      <c r="S533" t="s">
        <v>30</v>
      </c>
      <c r="T533" t="s">
        <v>42</v>
      </c>
      <c r="U533">
        <v>16</v>
      </c>
    </row>
    <row r="534" spans="1:21" x14ac:dyDescent="0.25">
      <c r="A534" t="s">
        <v>34</v>
      </c>
      <c r="B534" t="s">
        <v>64</v>
      </c>
      <c r="C534" t="s">
        <v>36</v>
      </c>
      <c r="D534" t="s">
        <v>23</v>
      </c>
      <c r="E534" t="s">
        <v>29</v>
      </c>
      <c r="F534">
        <v>62</v>
      </c>
      <c r="G534">
        <v>61</v>
      </c>
      <c r="H534">
        <v>58</v>
      </c>
      <c r="J534">
        <v>62</v>
      </c>
      <c r="K534">
        <v>7.8740078740000001</v>
      </c>
      <c r="L534">
        <v>58</v>
      </c>
      <c r="M534">
        <v>62</v>
      </c>
      <c r="N534">
        <v>181</v>
      </c>
      <c r="O534">
        <v>60.333333330000002</v>
      </c>
      <c r="P534">
        <v>61.5</v>
      </c>
      <c r="Q534">
        <v>4</v>
      </c>
      <c r="R534">
        <v>7.77</v>
      </c>
      <c r="S534" t="s">
        <v>38</v>
      </c>
      <c r="T534" t="s">
        <v>26</v>
      </c>
      <c r="U534">
        <v>18</v>
      </c>
    </row>
    <row r="535" spans="1:21" x14ac:dyDescent="0.25">
      <c r="A535" t="s">
        <v>20</v>
      </c>
      <c r="B535" t="s">
        <v>64</v>
      </c>
      <c r="C535" t="s">
        <v>36</v>
      </c>
      <c r="D535" t="s">
        <v>23</v>
      </c>
      <c r="E535" t="s">
        <v>29</v>
      </c>
      <c r="F535">
        <v>79</v>
      </c>
      <c r="G535">
        <v>88</v>
      </c>
      <c r="H535">
        <v>94</v>
      </c>
      <c r="J535">
        <v>79</v>
      </c>
      <c r="K535">
        <v>8.8881944169999993</v>
      </c>
      <c r="L535">
        <v>79</v>
      </c>
      <c r="M535">
        <v>94</v>
      </c>
      <c r="N535">
        <v>261</v>
      </c>
      <c r="O535">
        <v>87</v>
      </c>
      <c r="P535">
        <v>83.5</v>
      </c>
      <c r="Q535">
        <v>1</v>
      </c>
      <c r="R535">
        <v>9.33</v>
      </c>
      <c r="S535" t="s">
        <v>38</v>
      </c>
      <c r="T535" t="s">
        <v>26</v>
      </c>
      <c r="U535">
        <v>18</v>
      </c>
    </row>
    <row r="536" spans="1:21" x14ac:dyDescent="0.25">
      <c r="A536" t="s">
        <v>34</v>
      </c>
      <c r="B536" t="s">
        <v>21</v>
      </c>
      <c r="C536" t="s">
        <v>40</v>
      </c>
      <c r="D536" t="s">
        <v>23</v>
      </c>
      <c r="E536" t="s">
        <v>29</v>
      </c>
      <c r="F536">
        <v>73</v>
      </c>
      <c r="G536">
        <v>69</v>
      </c>
      <c r="H536">
        <v>68</v>
      </c>
      <c r="J536">
        <v>73</v>
      </c>
      <c r="K536">
        <v>8.5440037449999995</v>
      </c>
      <c r="L536">
        <v>68</v>
      </c>
      <c r="M536">
        <v>73</v>
      </c>
      <c r="N536">
        <v>210</v>
      </c>
      <c r="O536">
        <v>70</v>
      </c>
      <c r="P536">
        <v>71</v>
      </c>
      <c r="Q536">
        <v>4</v>
      </c>
      <c r="R536">
        <v>8.3699999999999992</v>
      </c>
      <c r="S536" t="s">
        <v>41</v>
      </c>
      <c r="T536" t="s">
        <v>42</v>
      </c>
      <c r="U536">
        <v>11</v>
      </c>
    </row>
    <row r="537" spans="1:21" x14ac:dyDescent="0.25">
      <c r="A537" t="s">
        <v>20</v>
      </c>
      <c r="B537" t="s">
        <v>27</v>
      </c>
      <c r="C537" t="s">
        <v>22</v>
      </c>
      <c r="D537" t="s">
        <v>37</v>
      </c>
      <c r="E537" t="s">
        <v>29</v>
      </c>
      <c r="F537">
        <v>66</v>
      </c>
      <c r="G537">
        <v>83</v>
      </c>
      <c r="H537">
        <v>83</v>
      </c>
      <c r="J537">
        <v>66</v>
      </c>
      <c r="K537">
        <v>8.1240384050000003</v>
      </c>
      <c r="L537">
        <v>66</v>
      </c>
      <c r="M537">
        <v>83</v>
      </c>
      <c r="N537">
        <v>232</v>
      </c>
      <c r="O537">
        <v>77.333333330000002</v>
      </c>
      <c r="P537">
        <v>74.5</v>
      </c>
      <c r="Q537">
        <v>1</v>
      </c>
      <c r="R537">
        <v>8.7899999999999991</v>
      </c>
      <c r="S537" t="s">
        <v>25</v>
      </c>
      <c r="T537" t="s">
        <v>26</v>
      </c>
      <c r="U537">
        <v>17</v>
      </c>
    </row>
    <row r="538" spans="1:21" x14ac:dyDescent="0.25">
      <c r="A538" t="s">
        <v>34</v>
      </c>
      <c r="B538" t="s">
        <v>27</v>
      </c>
      <c r="C538" t="s">
        <v>36</v>
      </c>
      <c r="D538" t="s">
        <v>23</v>
      </c>
      <c r="E538" t="s">
        <v>29</v>
      </c>
      <c r="F538">
        <v>51</v>
      </c>
      <c r="G538">
        <v>60</v>
      </c>
      <c r="H538">
        <v>58</v>
      </c>
      <c r="J538">
        <v>51</v>
      </c>
      <c r="K538">
        <v>7.1414284290000003</v>
      </c>
      <c r="L538">
        <v>51</v>
      </c>
      <c r="M538">
        <v>60</v>
      </c>
      <c r="N538">
        <v>169</v>
      </c>
      <c r="O538">
        <v>56.333333330000002</v>
      </c>
      <c r="P538">
        <v>54.5</v>
      </c>
      <c r="Q538">
        <v>2</v>
      </c>
      <c r="R538">
        <v>7.51</v>
      </c>
      <c r="S538" t="s">
        <v>38</v>
      </c>
      <c r="T538" t="s">
        <v>26</v>
      </c>
      <c r="U538">
        <v>18</v>
      </c>
    </row>
    <row r="539" spans="1:21" x14ac:dyDescent="0.25">
      <c r="A539" t="s">
        <v>20</v>
      </c>
      <c r="B539" t="s">
        <v>39</v>
      </c>
      <c r="C539" t="s">
        <v>40</v>
      </c>
      <c r="D539" t="s">
        <v>23</v>
      </c>
      <c r="E539" t="s">
        <v>24</v>
      </c>
      <c r="F539">
        <v>51</v>
      </c>
      <c r="G539">
        <v>66</v>
      </c>
      <c r="H539">
        <v>62</v>
      </c>
      <c r="J539">
        <v>51</v>
      </c>
      <c r="K539">
        <v>7.1414284290000003</v>
      </c>
      <c r="L539">
        <v>51</v>
      </c>
      <c r="M539">
        <v>66</v>
      </c>
      <c r="N539">
        <v>179</v>
      </c>
      <c r="O539">
        <v>59.666666669999998</v>
      </c>
      <c r="P539">
        <v>56.5</v>
      </c>
      <c r="Q539">
        <v>2</v>
      </c>
      <c r="R539">
        <v>7.72</v>
      </c>
      <c r="S539" t="s">
        <v>41</v>
      </c>
      <c r="T539" t="s">
        <v>42</v>
      </c>
      <c r="U539">
        <v>11</v>
      </c>
    </row>
    <row r="540" spans="1:21" x14ac:dyDescent="0.25">
      <c r="A540" t="s">
        <v>34</v>
      </c>
      <c r="B540" t="s">
        <v>64</v>
      </c>
      <c r="C540" t="s">
        <v>22</v>
      </c>
      <c r="D540" t="s">
        <v>23</v>
      </c>
      <c r="E540" t="s">
        <v>29</v>
      </c>
      <c r="F540">
        <v>85</v>
      </c>
      <c r="G540">
        <v>66</v>
      </c>
      <c r="H540">
        <v>71</v>
      </c>
      <c r="J540">
        <v>85</v>
      </c>
      <c r="K540">
        <v>9.2195444569999996</v>
      </c>
      <c r="L540">
        <v>66</v>
      </c>
      <c r="M540">
        <v>85</v>
      </c>
      <c r="N540">
        <v>222</v>
      </c>
      <c r="O540">
        <v>74</v>
      </c>
      <c r="P540">
        <v>78</v>
      </c>
      <c r="Q540">
        <v>3</v>
      </c>
      <c r="R540">
        <v>8.6</v>
      </c>
      <c r="S540" t="s">
        <v>25</v>
      </c>
      <c r="T540" t="s">
        <v>26</v>
      </c>
      <c r="U540">
        <v>17</v>
      </c>
    </row>
    <row r="541" spans="1:21" x14ac:dyDescent="0.25">
      <c r="A541" t="s">
        <v>34</v>
      </c>
      <c r="B541" t="s">
        <v>35</v>
      </c>
      <c r="C541" t="s">
        <v>36</v>
      </c>
      <c r="D541" t="s">
        <v>23</v>
      </c>
      <c r="E541" t="s">
        <v>29</v>
      </c>
      <c r="F541">
        <v>97</v>
      </c>
      <c r="G541">
        <v>92</v>
      </c>
      <c r="H541">
        <v>86</v>
      </c>
      <c r="J541">
        <v>97</v>
      </c>
      <c r="K541">
        <v>9.8488578019999995</v>
      </c>
      <c r="L541">
        <v>86</v>
      </c>
      <c r="M541">
        <v>97</v>
      </c>
      <c r="N541">
        <v>275</v>
      </c>
      <c r="O541">
        <v>91.666666669999998</v>
      </c>
      <c r="P541">
        <v>94.5</v>
      </c>
      <c r="Q541">
        <v>4</v>
      </c>
      <c r="R541">
        <v>9.57</v>
      </c>
      <c r="S541" t="s">
        <v>38</v>
      </c>
      <c r="T541" t="s">
        <v>26</v>
      </c>
      <c r="U541">
        <v>18</v>
      </c>
    </row>
    <row r="542" spans="1:21" x14ac:dyDescent="0.25">
      <c r="A542" t="s">
        <v>34</v>
      </c>
      <c r="B542" t="s">
        <v>27</v>
      </c>
      <c r="C542" t="s">
        <v>40</v>
      </c>
      <c r="D542" t="s">
        <v>23</v>
      </c>
      <c r="E542" t="s">
        <v>29</v>
      </c>
      <c r="F542">
        <v>75</v>
      </c>
      <c r="G542">
        <v>69</v>
      </c>
      <c r="H542">
        <v>68</v>
      </c>
      <c r="J542">
        <v>75</v>
      </c>
      <c r="K542">
        <v>8.6602540379999997</v>
      </c>
      <c r="L542">
        <v>68</v>
      </c>
      <c r="M542">
        <v>75</v>
      </c>
      <c r="N542">
        <v>212</v>
      </c>
      <c r="O542">
        <v>70.666666669999998</v>
      </c>
      <c r="P542">
        <v>72</v>
      </c>
      <c r="Q542">
        <v>4</v>
      </c>
      <c r="R542">
        <v>8.41</v>
      </c>
      <c r="S542" t="s">
        <v>41</v>
      </c>
      <c r="T542" t="s">
        <v>42</v>
      </c>
      <c r="U542">
        <v>11</v>
      </c>
    </row>
    <row r="543" spans="1:21" x14ac:dyDescent="0.25">
      <c r="A543" t="s">
        <v>34</v>
      </c>
      <c r="B543" t="s">
        <v>39</v>
      </c>
      <c r="C543" t="s">
        <v>36</v>
      </c>
      <c r="D543" t="s">
        <v>37</v>
      </c>
      <c r="E543" t="s">
        <v>29</v>
      </c>
      <c r="F543">
        <v>79</v>
      </c>
      <c r="G543">
        <v>82</v>
      </c>
      <c r="H543">
        <v>80</v>
      </c>
      <c r="J543">
        <v>79</v>
      </c>
      <c r="K543">
        <v>8.8881944169999993</v>
      </c>
      <c r="L543">
        <v>79</v>
      </c>
      <c r="M543">
        <v>82</v>
      </c>
      <c r="N543">
        <v>241</v>
      </c>
      <c r="O543">
        <v>80.333333330000002</v>
      </c>
      <c r="P543">
        <v>79.5</v>
      </c>
      <c r="Q543">
        <v>2</v>
      </c>
      <c r="R543">
        <v>8.9600000000000009</v>
      </c>
      <c r="S543" t="s">
        <v>38</v>
      </c>
      <c r="T543" t="s">
        <v>26</v>
      </c>
      <c r="U543">
        <v>18</v>
      </c>
    </row>
    <row r="544" spans="1:21" x14ac:dyDescent="0.25">
      <c r="A544" t="s">
        <v>20</v>
      </c>
      <c r="B544" t="s">
        <v>27</v>
      </c>
      <c r="C544" t="s">
        <v>36</v>
      </c>
      <c r="D544" t="s">
        <v>23</v>
      </c>
      <c r="E544" t="s">
        <v>24</v>
      </c>
      <c r="F544">
        <v>81</v>
      </c>
      <c r="G544">
        <v>77</v>
      </c>
      <c r="H544">
        <v>79</v>
      </c>
      <c r="J544">
        <v>81</v>
      </c>
      <c r="K544">
        <v>9</v>
      </c>
      <c r="L544">
        <v>77</v>
      </c>
      <c r="M544">
        <v>81</v>
      </c>
      <c r="N544">
        <v>237</v>
      </c>
      <c r="O544">
        <v>79</v>
      </c>
      <c r="P544">
        <v>80</v>
      </c>
      <c r="Q544">
        <v>3</v>
      </c>
      <c r="R544">
        <v>8.89</v>
      </c>
      <c r="S544" t="s">
        <v>38</v>
      </c>
      <c r="T544" t="s">
        <v>26</v>
      </c>
      <c r="U544">
        <v>18</v>
      </c>
    </row>
    <row r="545" spans="1:21" x14ac:dyDescent="0.25">
      <c r="A545" t="s">
        <v>20</v>
      </c>
      <c r="B545" t="s">
        <v>39</v>
      </c>
      <c r="C545" t="s">
        <v>36</v>
      </c>
      <c r="D545" t="s">
        <v>23</v>
      </c>
      <c r="E545" t="s">
        <v>24</v>
      </c>
      <c r="F545">
        <v>82</v>
      </c>
      <c r="G545">
        <v>95</v>
      </c>
      <c r="H545">
        <v>89</v>
      </c>
      <c r="J545">
        <v>82</v>
      </c>
      <c r="K545">
        <v>9.0553851380000001</v>
      </c>
      <c r="L545">
        <v>82</v>
      </c>
      <c r="M545">
        <v>95</v>
      </c>
      <c r="N545">
        <v>266</v>
      </c>
      <c r="O545">
        <v>88.666666669999998</v>
      </c>
      <c r="P545">
        <v>85.5</v>
      </c>
      <c r="Q545">
        <v>2</v>
      </c>
      <c r="R545">
        <v>9.42</v>
      </c>
      <c r="S545" t="s">
        <v>38</v>
      </c>
      <c r="T545" t="s">
        <v>26</v>
      </c>
      <c r="U545">
        <v>18</v>
      </c>
    </row>
    <row r="546" spans="1:21" x14ac:dyDescent="0.25">
      <c r="A546" t="s">
        <v>20</v>
      </c>
      <c r="B546" t="s">
        <v>39</v>
      </c>
      <c r="C546" t="s">
        <v>32</v>
      </c>
      <c r="D546" t="s">
        <v>23</v>
      </c>
      <c r="E546" t="s">
        <v>24</v>
      </c>
      <c r="F546">
        <v>64</v>
      </c>
      <c r="G546">
        <v>63</v>
      </c>
      <c r="H546">
        <v>66</v>
      </c>
      <c r="J546">
        <v>64</v>
      </c>
      <c r="K546">
        <v>8</v>
      </c>
      <c r="L546">
        <v>63</v>
      </c>
      <c r="M546">
        <v>66</v>
      </c>
      <c r="N546">
        <v>193</v>
      </c>
      <c r="O546">
        <v>64.333333330000002</v>
      </c>
      <c r="P546">
        <v>64</v>
      </c>
      <c r="Q546">
        <v>1</v>
      </c>
      <c r="R546">
        <v>8.02</v>
      </c>
      <c r="S546" t="s">
        <v>33</v>
      </c>
      <c r="T546" t="s">
        <v>26</v>
      </c>
      <c r="U546">
        <v>15</v>
      </c>
    </row>
    <row r="547" spans="1:21" x14ac:dyDescent="0.25">
      <c r="A547" t="s">
        <v>34</v>
      </c>
      <c r="B547" t="s">
        <v>64</v>
      </c>
      <c r="C547" t="s">
        <v>50</v>
      </c>
      <c r="D547" t="s">
        <v>37</v>
      </c>
      <c r="E547" t="s">
        <v>29</v>
      </c>
      <c r="F547">
        <v>78</v>
      </c>
      <c r="G547">
        <v>83</v>
      </c>
      <c r="H547">
        <v>80</v>
      </c>
      <c r="J547">
        <v>78</v>
      </c>
      <c r="K547">
        <v>8.8317608659999998</v>
      </c>
      <c r="L547">
        <v>78</v>
      </c>
      <c r="M547">
        <v>83</v>
      </c>
      <c r="N547">
        <v>241</v>
      </c>
      <c r="O547">
        <v>80.333333330000002</v>
      </c>
      <c r="P547">
        <v>79</v>
      </c>
      <c r="Q547">
        <v>2</v>
      </c>
      <c r="R547">
        <v>8.9600000000000009</v>
      </c>
      <c r="S547" t="s">
        <v>30</v>
      </c>
      <c r="T547" t="s">
        <v>42</v>
      </c>
      <c r="U547">
        <v>16</v>
      </c>
    </row>
    <row r="548" spans="1:21" x14ac:dyDescent="0.25">
      <c r="A548" t="s">
        <v>20</v>
      </c>
      <c r="B548" t="s">
        <v>35</v>
      </c>
      <c r="C548" t="s">
        <v>50</v>
      </c>
      <c r="D548" t="s">
        <v>23</v>
      </c>
      <c r="E548" t="s">
        <v>29</v>
      </c>
      <c r="F548">
        <v>92</v>
      </c>
      <c r="G548">
        <v>100</v>
      </c>
      <c r="H548">
        <v>97</v>
      </c>
      <c r="J548">
        <v>92</v>
      </c>
      <c r="K548">
        <v>9.5916630470000008</v>
      </c>
      <c r="L548">
        <v>92</v>
      </c>
      <c r="M548">
        <v>100</v>
      </c>
      <c r="N548">
        <v>289</v>
      </c>
      <c r="O548">
        <v>96.333333330000002</v>
      </c>
      <c r="P548">
        <v>94.5</v>
      </c>
      <c r="Q548">
        <v>2</v>
      </c>
      <c r="R548">
        <v>9.81</v>
      </c>
      <c r="S548" t="s">
        <v>30</v>
      </c>
      <c r="T548" t="s">
        <v>42</v>
      </c>
      <c r="U548">
        <v>16</v>
      </c>
    </row>
    <row r="549" spans="1:21" x14ac:dyDescent="0.25">
      <c r="A549" t="s">
        <v>34</v>
      </c>
      <c r="B549" t="s">
        <v>27</v>
      </c>
      <c r="C549" t="s">
        <v>40</v>
      </c>
      <c r="D549" t="s">
        <v>23</v>
      </c>
      <c r="E549" t="s">
        <v>29</v>
      </c>
      <c r="F549">
        <v>72</v>
      </c>
      <c r="G549">
        <v>67</v>
      </c>
      <c r="H549">
        <v>64</v>
      </c>
      <c r="J549">
        <v>72</v>
      </c>
      <c r="K549">
        <v>8.4852813739999995</v>
      </c>
      <c r="L549">
        <v>64</v>
      </c>
      <c r="M549">
        <v>72</v>
      </c>
      <c r="N549">
        <v>203</v>
      </c>
      <c r="O549">
        <v>67.666666669999998</v>
      </c>
      <c r="P549">
        <v>69.5</v>
      </c>
      <c r="Q549">
        <v>4</v>
      </c>
      <c r="R549">
        <v>8.23</v>
      </c>
      <c r="S549" t="s">
        <v>41</v>
      </c>
      <c r="T549" t="s">
        <v>42</v>
      </c>
      <c r="U549">
        <v>11</v>
      </c>
    </row>
    <row r="550" spans="1:21" x14ac:dyDescent="0.25">
      <c r="A550" t="s">
        <v>20</v>
      </c>
      <c r="B550" t="s">
        <v>27</v>
      </c>
      <c r="C550" t="s">
        <v>40</v>
      </c>
      <c r="D550" t="s">
        <v>37</v>
      </c>
      <c r="E550" t="s">
        <v>24</v>
      </c>
      <c r="F550">
        <v>62</v>
      </c>
      <c r="G550">
        <v>67</v>
      </c>
      <c r="H550">
        <v>64</v>
      </c>
      <c r="J550">
        <v>62</v>
      </c>
      <c r="K550">
        <v>7.8740078740000001</v>
      </c>
      <c r="L550">
        <v>62</v>
      </c>
      <c r="M550">
        <v>67</v>
      </c>
      <c r="N550">
        <v>193</v>
      </c>
      <c r="O550">
        <v>64.333333330000002</v>
      </c>
      <c r="P550">
        <v>63</v>
      </c>
      <c r="Q550">
        <v>2</v>
      </c>
      <c r="R550">
        <v>8.02</v>
      </c>
      <c r="S550" t="s">
        <v>41</v>
      </c>
      <c r="T550" t="s">
        <v>42</v>
      </c>
      <c r="U550">
        <v>11</v>
      </c>
    </row>
    <row r="551" spans="1:21" x14ac:dyDescent="0.25">
      <c r="A551" t="s">
        <v>34</v>
      </c>
      <c r="B551" t="s">
        <v>27</v>
      </c>
      <c r="C551" t="s">
        <v>32</v>
      </c>
      <c r="D551" t="s">
        <v>23</v>
      </c>
      <c r="E551" t="s">
        <v>24</v>
      </c>
      <c r="F551">
        <v>79</v>
      </c>
      <c r="G551">
        <v>72</v>
      </c>
      <c r="H551">
        <v>69</v>
      </c>
      <c r="J551">
        <v>79</v>
      </c>
      <c r="K551">
        <v>8.8881944169999993</v>
      </c>
      <c r="L551">
        <v>69</v>
      </c>
      <c r="M551">
        <v>79</v>
      </c>
      <c r="N551">
        <v>220</v>
      </c>
      <c r="O551">
        <v>73.333333330000002</v>
      </c>
      <c r="P551">
        <v>75.5</v>
      </c>
      <c r="Q551">
        <v>4</v>
      </c>
      <c r="R551">
        <v>8.56</v>
      </c>
      <c r="S551" t="s">
        <v>33</v>
      </c>
      <c r="T551" t="s">
        <v>26</v>
      </c>
      <c r="U551">
        <v>15</v>
      </c>
    </row>
    <row r="552" spans="1:21" x14ac:dyDescent="0.25">
      <c r="A552" t="s">
        <v>34</v>
      </c>
      <c r="B552" t="s">
        <v>27</v>
      </c>
      <c r="C552" t="s">
        <v>50</v>
      </c>
      <c r="D552" t="s">
        <v>37</v>
      </c>
      <c r="E552" t="s">
        <v>24</v>
      </c>
      <c r="F552">
        <v>79</v>
      </c>
      <c r="G552">
        <v>76</v>
      </c>
      <c r="H552">
        <v>65</v>
      </c>
      <c r="J552">
        <v>79</v>
      </c>
      <c r="K552">
        <v>8.8881944169999993</v>
      </c>
      <c r="L552">
        <v>65</v>
      </c>
      <c r="M552">
        <v>79</v>
      </c>
      <c r="N552">
        <v>220</v>
      </c>
      <c r="O552">
        <v>73.333333330000002</v>
      </c>
      <c r="P552">
        <v>77.5</v>
      </c>
      <c r="Q552">
        <v>4</v>
      </c>
      <c r="R552">
        <v>8.56</v>
      </c>
      <c r="S552" t="s">
        <v>30</v>
      </c>
      <c r="T552" t="s">
        <v>42</v>
      </c>
      <c r="U552">
        <v>16</v>
      </c>
    </row>
    <row r="553" spans="1:21" x14ac:dyDescent="0.25">
      <c r="A553" t="s">
        <v>34</v>
      </c>
      <c r="B553" t="s">
        <v>21</v>
      </c>
      <c r="C553" t="s">
        <v>22</v>
      </c>
      <c r="D553" t="s">
        <v>37</v>
      </c>
      <c r="E553" t="s">
        <v>29</v>
      </c>
      <c r="F553">
        <v>87</v>
      </c>
      <c r="G553">
        <v>90</v>
      </c>
      <c r="H553">
        <v>88</v>
      </c>
      <c r="J553">
        <v>87</v>
      </c>
      <c r="K553">
        <v>9.3273790529999996</v>
      </c>
      <c r="L553">
        <v>87</v>
      </c>
      <c r="M553">
        <v>90</v>
      </c>
      <c r="N553">
        <v>265</v>
      </c>
      <c r="O553">
        <v>88.333333330000002</v>
      </c>
      <c r="P553">
        <v>87.5</v>
      </c>
      <c r="Q553">
        <v>2</v>
      </c>
      <c r="R553">
        <v>9.4</v>
      </c>
      <c r="S553" t="s">
        <v>25</v>
      </c>
      <c r="T553" t="s">
        <v>26</v>
      </c>
      <c r="U553">
        <v>17</v>
      </c>
    </row>
    <row r="554" spans="1:21" x14ac:dyDescent="0.25">
      <c r="A554" t="s">
        <v>20</v>
      </c>
      <c r="B554" t="s">
        <v>21</v>
      </c>
      <c r="C554" t="s">
        <v>36</v>
      </c>
      <c r="D554" t="s">
        <v>23</v>
      </c>
      <c r="E554" t="s">
        <v>24</v>
      </c>
      <c r="F554">
        <v>40</v>
      </c>
      <c r="G554">
        <v>48</v>
      </c>
      <c r="H554">
        <v>50</v>
      </c>
      <c r="J554">
        <v>40</v>
      </c>
      <c r="K554">
        <v>6.32455532</v>
      </c>
      <c r="L554">
        <v>40</v>
      </c>
      <c r="M554">
        <v>50</v>
      </c>
      <c r="N554">
        <v>138</v>
      </c>
      <c r="O554">
        <v>46</v>
      </c>
      <c r="P554">
        <v>44</v>
      </c>
      <c r="Q554">
        <v>1</v>
      </c>
      <c r="R554">
        <v>6.78</v>
      </c>
      <c r="S554" t="s">
        <v>38</v>
      </c>
      <c r="T554" t="s">
        <v>26</v>
      </c>
      <c r="U554">
        <v>18</v>
      </c>
    </row>
    <row r="555" spans="1:21" x14ac:dyDescent="0.25">
      <c r="A555" t="s">
        <v>34</v>
      </c>
      <c r="B555" t="s">
        <v>39</v>
      </c>
      <c r="C555" t="s">
        <v>28</v>
      </c>
      <c r="D555" t="s">
        <v>37</v>
      </c>
      <c r="E555" t="s">
        <v>24</v>
      </c>
      <c r="F555">
        <v>77</v>
      </c>
      <c r="G555">
        <v>62</v>
      </c>
      <c r="H555">
        <v>64</v>
      </c>
      <c r="J555">
        <v>77</v>
      </c>
      <c r="K555">
        <v>8.7749643870000007</v>
      </c>
      <c r="L555">
        <v>62</v>
      </c>
      <c r="M555">
        <v>77</v>
      </c>
      <c r="N555">
        <v>203</v>
      </c>
      <c r="O555">
        <v>67.666666669999998</v>
      </c>
      <c r="P555">
        <v>70.5</v>
      </c>
      <c r="Q555">
        <v>3</v>
      </c>
      <c r="R555">
        <v>8.23</v>
      </c>
      <c r="S555" t="s">
        <v>30</v>
      </c>
      <c r="T555" t="s">
        <v>31</v>
      </c>
      <c r="U555">
        <v>12</v>
      </c>
    </row>
    <row r="556" spans="1:21" x14ac:dyDescent="0.25">
      <c r="A556" t="s">
        <v>34</v>
      </c>
      <c r="B556" t="s">
        <v>64</v>
      </c>
      <c r="C556" t="s">
        <v>36</v>
      </c>
      <c r="D556" t="s">
        <v>23</v>
      </c>
      <c r="E556" t="s">
        <v>24</v>
      </c>
      <c r="F556">
        <v>53</v>
      </c>
      <c r="G556">
        <v>45</v>
      </c>
      <c r="H556">
        <v>40</v>
      </c>
      <c r="J556">
        <v>53</v>
      </c>
      <c r="K556">
        <v>7.2801098890000002</v>
      </c>
      <c r="L556">
        <v>40</v>
      </c>
      <c r="M556">
        <v>53</v>
      </c>
      <c r="N556">
        <v>138</v>
      </c>
      <c r="O556">
        <v>46</v>
      </c>
      <c r="P556">
        <v>49</v>
      </c>
      <c r="Q556">
        <v>4</v>
      </c>
      <c r="R556">
        <v>6.78</v>
      </c>
      <c r="S556" t="s">
        <v>38</v>
      </c>
      <c r="T556" t="s">
        <v>26</v>
      </c>
      <c r="U556">
        <v>18</v>
      </c>
    </row>
    <row r="557" spans="1:21" x14ac:dyDescent="0.25">
      <c r="A557" t="s">
        <v>20</v>
      </c>
      <c r="B557" t="s">
        <v>27</v>
      </c>
      <c r="C557" t="s">
        <v>28</v>
      </c>
      <c r="D557" t="s">
        <v>37</v>
      </c>
      <c r="E557" t="s">
        <v>24</v>
      </c>
      <c r="F557">
        <v>32</v>
      </c>
      <c r="G557">
        <v>39</v>
      </c>
      <c r="H557">
        <v>33</v>
      </c>
      <c r="J557">
        <v>32</v>
      </c>
      <c r="K557">
        <v>5.6568542490000002</v>
      </c>
      <c r="L557">
        <v>32</v>
      </c>
      <c r="M557">
        <v>39</v>
      </c>
      <c r="N557">
        <v>104</v>
      </c>
      <c r="O557">
        <v>34.666666669999998</v>
      </c>
      <c r="P557">
        <v>32.5</v>
      </c>
      <c r="Q557">
        <v>2</v>
      </c>
      <c r="R557">
        <v>5.89</v>
      </c>
      <c r="S557" t="s">
        <v>30</v>
      </c>
      <c r="T557" t="s">
        <v>31</v>
      </c>
      <c r="U557">
        <v>12</v>
      </c>
    </row>
    <row r="558" spans="1:21" x14ac:dyDescent="0.25">
      <c r="A558" t="s">
        <v>20</v>
      </c>
      <c r="B558" t="s">
        <v>27</v>
      </c>
      <c r="C558" t="s">
        <v>36</v>
      </c>
      <c r="D558" t="s">
        <v>23</v>
      </c>
      <c r="E558" t="s">
        <v>29</v>
      </c>
      <c r="F558">
        <v>55</v>
      </c>
      <c r="G558">
        <v>72</v>
      </c>
      <c r="H558">
        <v>79</v>
      </c>
      <c r="J558">
        <v>55</v>
      </c>
      <c r="K558">
        <v>7.416198487</v>
      </c>
      <c r="L558">
        <v>55</v>
      </c>
      <c r="M558">
        <v>79</v>
      </c>
      <c r="N558">
        <v>206</v>
      </c>
      <c r="O558">
        <v>68.666666669999998</v>
      </c>
      <c r="P558">
        <v>63.5</v>
      </c>
      <c r="Q558">
        <v>1</v>
      </c>
      <c r="R558">
        <v>8.2899999999999991</v>
      </c>
      <c r="S558" t="s">
        <v>38</v>
      </c>
      <c r="T558" t="s">
        <v>26</v>
      </c>
      <c r="U558">
        <v>18</v>
      </c>
    </row>
    <row r="559" spans="1:21" x14ac:dyDescent="0.25">
      <c r="A559" t="s">
        <v>34</v>
      </c>
      <c r="B559" t="s">
        <v>27</v>
      </c>
      <c r="C559" t="s">
        <v>32</v>
      </c>
      <c r="D559" t="s">
        <v>37</v>
      </c>
      <c r="E559" t="s">
        <v>24</v>
      </c>
      <c r="F559">
        <v>61</v>
      </c>
      <c r="G559">
        <v>67</v>
      </c>
      <c r="H559">
        <v>66</v>
      </c>
      <c r="J559">
        <v>61</v>
      </c>
      <c r="K559">
        <v>7.8102496759999998</v>
      </c>
      <c r="L559">
        <v>61</v>
      </c>
      <c r="M559">
        <v>67</v>
      </c>
      <c r="N559">
        <v>194</v>
      </c>
      <c r="O559">
        <v>64.666666669999998</v>
      </c>
      <c r="P559">
        <v>63.5</v>
      </c>
      <c r="Q559">
        <v>2</v>
      </c>
      <c r="R559">
        <v>8.0399999999999991</v>
      </c>
      <c r="S559" t="s">
        <v>33</v>
      </c>
      <c r="T559" t="s">
        <v>26</v>
      </c>
      <c r="U559">
        <v>15</v>
      </c>
    </row>
    <row r="560" spans="1:21" x14ac:dyDescent="0.25">
      <c r="A560" t="s">
        <v>20</v>
      </c>
      <c r="B560" t="s">
        <v>21</v>
      </c>
      <c r="C560" t="s">
        <v>36</v>
      </c>
      <c r="D560" t="s">
        <v>37</v>
      </c>
      <c r="E560" t="s">
        <v>24</v>
      </c>
      <c r="F560">
        <v>53</v>
      </c>
      <c r="G560">
        <v>70</v>
      </c>
      <c r="H560">
        <v>70</v>
      </c>
      <c r="J560">
        <v>53</v>
      </c>
      <c r="K560">
        <v>7.2801098890000002</v>
      </c>
      <c r="L560">
        <v>53</v>
      </c>
      <c r="M560">
        <v>70</v>
      </c>
      <c r="N560">
        <v>193</v>
      </c>
      <c r="O560">
        <v>64.333333330000002</v>
      </c>
      <c r="P560">
        <v>61.5</v>
      </c>
      <c r="Q560">
        <v>1</v>
      </c>
      <c r="R560">
        <v>8.02</v>
      </c>
      <c r="S560" t="s">
        <v>38</v>
      </c>
      <c r="T560" t="s">
        <v>26</v>
      </c>
      <c r="U560">
        <v>18</v>
      </c>
    </row>
    <row r="561" spans="1:21" x14ac:dyDescent="0.25">
      <c r="A561" t="s">
        <v>34</v>
      </c>
      <c r="B561" t="s">
        <v>39</v>
      </c>
      <c r="C561" t="s">
        <v>50</v>
      </c>
      <c r="D561" t="s">
        <v>23</v>
      </c>
      <c r="E561" t="s">
        <v>24</v>
      </c>
      <c r="F561">
        <v>73</v>
      </c>
      <c r="G561">
        <v>66</v>
      </c>
      <c r="H561">
        <v>62</v>
      </c>
      <c r="J561">
        <v>73</v>
      </c>
      <c r="K561">
        <v>8.5440037449999995</v>
      </c>
      <c r="L561">
        <v>62</v>
      </c>
      <c r="M561">
        <v>73</v>
      </c>
      <c r="N561">
        <v>201</v>
      </c>
      <c r="O561">
        <v>67</v>
      </c>
      <c r="P561">
        <v>69.5</v>
      </c>
      <c r="Q561">
        <v>4</v>
      </c>
      <c r="R561">
        <v>8.19</v>
      </c>
      <c r="S561" t="s">
        <v>30</v>
      </c>
      <c r="T561" t="s">
        <v>42</v>
      </c>
      <c r="U561">
        <v>16</v>
      </c>
    </row>
    <row r="562" spans="1:21" x14ac:dyDescent="0.25">
      <c r="A562" t="s">
        <v>20</v>
      </c>
      <c r="B562" t="s">
        <v>39</v>
      </c>
      <c r="C562" t="s">
        <v>28</v>
      </c>
      <c r="D562" t="s">
        <v>23</v>
      </c>
      <c r="E562" t="s">
        <v>29</v>
      </c>
      <c r="F562">
        <v>74</v>
      </c>
      <c r="G562">
        <v>75</v>
      </c>
      <c r="H562">
        <v>79</v>
      </c>
      <c r="J562">
        <v>74</v>
      </c>
      <c r="K562">
        <v>8.6023252669999994</v>
      </c>
      <c r="L562">
        <v>74</v>
      </c>
      <c r="M562">
        <v>79</v>
      </c>
      <c r="N562">
        <v>228</v>
      </c>
      <c r="O562">
        <v>76</v>
      </c>
      <c r="P562">
        <v>74.5</v>
      </c>
      <c r="Q562">
        <v>1</v>
      </c>
      <c r="R562">
        <v>8.7200000000000006</v>
      </c>
      <c r="S562" t="s">
        <v>30</v>
      </c>
      <c r="T562" t="s">
        <v>31</v>
      </c>
      <c r="U562">
        <v>12</v>
      </c>
    </row>
    <row r="563" spans="1:21" x14ac:dyDescent="0.25">
      <c r="A563" t="s">
        <v>20</v>
      </c>
      <c r="B563" t="s">
        <v>27</v>
      </c>
      <c r="C563" t="s">
        <v>28</v>
      </c>
      <c r="D563" t="s">
        <v>23</v>
      </c>
      <c r="E563" t="s">
        <v>24</v>
      </c>
      <c r="F563">
        <v>63</v>
      </c>
      <c r="G563">
        <v>74</v>
      </c>
      <c r="H563">
        <v>74</v>
      </c>
      <c r="J563">
        <v>63</v>
      </c>
      <c r="K563">
        <v>7.937253933</v>
      </c>
      <c r="L563">
        <v>63</v>
      </c>
      <c r="M563">
        <v>74</v>
      </c>
      <c r="N563">
        <v>211</v>
      </c>
      <c r="O563">
        <v>70.333333330000002</v>
      </c>
      <c r="P563">
        <v>68.5</v>
      </c>
      <c r="Q563">
        <v>1</v>
      </c>
      <c r="R563">
        <v>8.39</v>
      </c>
      <c r="S563" t="s">
        <v>30</v>
      </c>
      <c r="T563" t="s">
        <v>31</v>
      </c>
      <c r="U563">
        <v>12</v>
      </c>
    </row>
    <row r="564" spans="1:21" x14ac:dyDescent="0.25">
      <c r="A564" t="s">
        <v>34</v>
      </c>
      <c r="B564" t="s">
        <v>27</v>
      </c>
      <c r="C564" t="s">
        <v>22</v>
      </c>
      <c r="D564" t="s">
        <v>23</v>
      </c>
      <c r="E564" t="s">
        <v>29</v>
      </c>
      <c r="F564">
        <v>96</v>
      </c>
      <c r="G564">
        <v>90</v>
      </c>
      <c r="H564">
        <v>92</v>
      </c>
      <c r="J564">
        <v>96</v>
      </c>
      <c r="K564">
        <v>9.7979589709999999</v>
      </c>
      <c r="L564">
        <v>90</v>
      </c>
      <c r="M564">
        <v>96</v>
      </c>
      <c r="N564">
        <v>278</v>
      </c>
      <c r="O564">
        <v>92.666666669999998</v>
      </c>
      <c r="P564">
        <v>94</v>
      </c>
      <c r="Q564">
        <v>3</v>
      </c>
      <c r="R564">
        <v>9.6300000000000008</v>
      </c>
      <c r="S564" t="s">
        <v>25</v>
      </c>
      <c r="T564" t="s">
        <v>26</v>
      </c>
      <c r="U564">
        <v>17</v>
      </c>
    </row>
    <row r="565" spans="1:21" x14ac:dyDescent="0.25">
      <c r="A565" t="s">
        <v>20</v>
      </c>
      <c r="B565" t="s">
        <v>39</v>
      </c>
      <c r="C565" t="s">
        <v>28</v>
      </c>
      <c r="D565" t="s">
        <v>37</v>
      </c>
      <c r="E565" t="s">
        <v>29</v>
      </c>
      <c r="F565">
        <v>63</v>
      </c>
      <c r="G565">
        <v>80</v>
      </c>
      <c r="H565">
        <v>80</v>
      </c>
      <c r="J565">
        <v>63</v>
      </c>
      <c r="K565">
        <v>7.937253933</v>
      </c>
      <c r="L565">
        <v>63</v>
      </c>
      <c r="M565">
        <v>80</v>
      </c>
      <c r="N565">
        <v>223</v>
      </c>
      <c r="O565">
        <v>74.333333330000002</v>
      </c>
      <c r="P565">
        <v>71.5</v>
      </c>
      <c r="Q565">
        <v>1</v>
      </c>
      <c r="R565">
        <v>8.6199999999999992</v>
      </c>
      <c r="S565" t="s">
        <v>30</v>
      </c>
      <c r="T565" t="s">
        <v>31</v>
      </c>
      <c r="U565">
        <v>12</v>
      </c>
    </row>
    <row r="566" spans="1:21" x14ac:dyDescent="0.25">
      <c r="A566" t="s">
        <v>34</v>
      </c>
      <c r="B566" t="s">
        <v>21</v>
      </c>
      <c r="C566" t="s">
        <v>22</v>
      </c>
      <c r="D566" t="s">
        <v>37</v>
      </c>
      <c r="E566" t="s">
        <v>24</v>
      </c>
      <c r="F566">
        <v>48</v>
      </c>
      <c r="G566">
        <v>51</v>
      </c>
      <c r="H566">
        <v>46</v>
      </c>
      <c r="J566">
        <v>48</v>
      </c>
      <c r="K566">
        <v>6.9282032300000003</v>
      </c>
      <c r="L566">
        <v>46</v>
      </c>
      <c r="M566">
        <v>51</v>
      </c>
      <c r="N566">
        <v>145</v>
      </c>
      <c r="O566">
        <v>48.333333330000002</v>
      </c>
      <c r="P566">
        <v>48</v>
      </c>
      <c r="Q566">
        <v>4</v>
      </c>
      <c r="R566">
        <v>6.95</v>
      </c>
      <c r="S566" t="s">
        <v>25</v>
      </c>
      <c r="T566" t="s">
        <v>26</v>
      </c>
      <c r="U566">
        <v>17</v>
      </c>
    </row>
    <row r="567" spans="1:21" x14ac:dyDescent="0.25">
      <c r="A567" t="s">
        <v>34</v>
      </c>
      <c r="B567" t="s">
        <v>21</v>
      </c>
      <c r="C567" t="s">
        <v>36</v>
      </c>
      <c r="D567" t="s">
        <v>23</v>
      </c>
      <c r="E567" t="s">
        <v>24</v>
      </c>
      <c r="F567">
        <v>48</v>
      </c>
      <c r="G567">
        <v>43</v>
      </c>
      <c r="H567">
        <v>45</v>
      </c>
      <c r="J567">
        <v>48</v>
      </c>
      <c r="K567">
        <v>6.9282032300000003</v>
      </c>
      <c r="L567">
        <v>43</v>
      </c>
      <c r="M567">
        <v>48</v>
      </c>
      <c r="N567">
        <v>136</v>
      </c>
      <c r="O567">
        <v>45.333333330000002</v>
      </c>
      <c r="P567">
        <v>46.5</v>
      </c>
      <c r="Q567">
        <v>3</v>
      </c>
      <c r="R567">
        <v>6.73</v>
      </c>
      <c r="S567" t="s">
        <v>38</v>
      </c>
      <c r="T567" t="s">
        <v>26</v>
      </c>
      <c r="U567">
        <v>18</v>
      </c>
    </row>
    <row r="568" spans="1:21" x14ac:dyDescent="0.25">
      <c r="A568" t="s">
        <v>20</v>
      </c>
      <c r="B568" t="s">
        <v>64</v>
      </c>
      <c r="C568" t="s">
        <v>22</v>
      </c>
      <c r="D568" t="s">
        <v>37</v>
      </c>
      <c r="E568" t="s">
        <v>29</v>
      </c>
      <c r="F568">
        <v>92</v>
      </c>
      <c r="G568">
        <v>100</v>
      </c>
      <c r="H568">
        <v>100</v>
      </c>
      <c r="J568">
        <v>92</v>
      </c>
      <c r="K568">
        <v>9.5916630470000008</v>
      </c>
      <c r="L568">
        <v>92</v>
      </c>
      <c r="M568">
        <v>100</v>
      </c>
      <c r="N568">
        <v>292</v>
      </c>
      <c r="O568">
        <v>97.333333330000002</v>
      </c>
      <c r="P568">
        <v>96</v>
      </c>
      <c r="Q568">
        <v>1</v>
      </c>
      <c r="R568">
        <v>9.8699999999999992</v>
      </c>
      <c r="S568" t="s">
        <v>25</v>
      </c>
      <c r="T568" t="s">
        <v>26</v>
      </c>
      <c r="U568">
        <v>17</v>
      </c>
    </row>
    <row r="569" spans="1:21" x14ac:dyDescent="0.25">
      <c r="A569" t="s">
        <v>20</v>
      </c>
      <c r="B569" t="s">
        <v>39</v>
      </c>
      <c r="C569" t="s">
        <v>32</v>
      </c>
      <c r="D569" t="s">
        <v>37</v>
      </c>
      <c r="E569" t="s">
        <v>29</v>
      </c>
      <c r="F569">
        <v>61</v>
      </c>
      <c r="G569">
        <v>71</v>
      </c>
      <c r="H569">
        <v>78</v>
      </c>
      <c r="J569">
        <v>61</v>
      </c>
      <c r="K569">
        <v>7.8102496759999998</v>
      </c>
      <c r="L569">
        <v>61</v>
      </c>
      <c r="M569">
        <v>78</v>
      </c>
      <c r="N569">
        <v>210</v>
      </c>
      <c r="O569">
        <v>70</v>
      </c>
      <c r="P569">
        <v>66</v>
      </c>
      <c r="Q569">
        <v>1</v>
      </c>
      <c r="R569">
        <v>8.3699999999999992</v>
      </c>
      <c r="S569" t="s">
        <v>33</v>
      </c>
      <c r="T569" t="s">
        <v>26</v>
      </c>
      <c r="U569">
        <v>15</v>
      </c>
    </row>
    <row r="570" spans="1:21" x14ac:dyDescent="0.25">
      <c r="A570" t="s">
        <v>34</v>
      </c>
      <c r="B570" t="s">
        <v>21</v>
      </c>
      <c r="C570" t="s">
        <v>40</v>
      </c>
      <c r="D570" t="s">
        <v>37</v>
      </c>
      <c r="E570" t="s">
        <v>24</v>
      </c>
      <c r="F570">
        <v>63</v>
      </c>
      <c r="G570">
        <v>48</v>
      </c>
      <c r="H570">
        <v>47</v>
      </c>
      <c r="J570">
        <v>63</v>
      </c>
      <c r="K570">
        <v>7.937253933</v>
      </c>
      <c r="L570">
        <v>47</v>
      </c>
      <c r="M570">
        <v>63</v>
      </c>
      <c r="N570">
        <v>158</v>
      </c>
      <c r="O570">
        <v>52.666666669999998</v>
      </c>
      <c r="P570">
        <v>55.5</v>
      </c>
      <c r="Q570">
        <v>4</v>
      </c>
      <c r="R570">
        <v>7.26</v>
      </c>
      <c r="S570" t="s">
        <v>41</v>
      </c>
      <c r="T570" t="s">
        <v>42</v>
      </c>
      <c r="U570">
        <v>11</v>
      </c>
    </row>
    <row r="571" spans="1:21" x14ac:dyDescent="0.25">
      <c r="A571" t="s">
        <v>34</v>
      </c>
      <c r="B571" t="s">
        <v>39</v>
      </c>
      <c r="C571" t="s">
        <v>22</v>
      </c>
      <c r="D571" t="s">
        <v>37</v>
      </c>
      <c r="E571" t="s">
        <v>24</v>
      </c>
      <c r="F571">
        <v>68</v>
      </c>
      <c r="G571">
        <v>68</v>
      </c>
      <c r="H571">
        <v>67</v>
      </c>
      <c r="J571">
        <v>68</v>
      </c>
      <c r="K571">
        <v>8.2462112510000001</v>
      </c>
      <c r="L571">
        <v>67</v>
      </c>
      <c r="M571">
        <v>68</v>
      </c>
      <c r="N571">
        <v>203</v>
      </c>
      <c r="O571">
        <v>67.666666669999998</v>
      </c>
      <c r="P571">
        <v>68</v>
      </c>
      <c r="Q571">
        <v>4</v>
      </c>
      <c r="R571">
        <v>8.23</v>
      </c>
      <c r="S571" t="s">
        <v>25</v>
      </c>
      <c r="T571" t="s">
        <v>26</v>
      </c>
      <c r="U571">
        <v>17</v>
      </c>
    </row>
    <row r="572" spans="1:21" x14ac:dyDescent="0.25">
      <c r="A572" t="s">
        <v>34</v>
      </c>
      <c r="B572" t="s">
        <v>21</v>
      </c>
      <c r="C572" t="s">
        <v>28</v>
      </c>
      <c r="D572" t="s">
        <v>23</v>
      </c>
      <c r="E572" t="s">
        <v>29</v>
      </c>
      <c r="F572">
        <v>71</v>
      </c>
      <c r="G572">
        <v>75</v>
      </c>
      <c r="H572">
        <v>70</v>
      </c>
      <c r="J572">
        <v>71</v>
      </c>
      <c r="K572">
        <v>8.4261497730000006</v>
      </c>
      <c r="L572">
        <v>70</v>
      </c>
      <c r="M572">
        <v>75</v>
      </c>
      <c r="N572">
        <v>216</v>
      </c>
      <c r="O572">
        <v>72</v>
      </c>
      <c r="P572">
        <v>71</v>
      </c>
      <c r="Q572">
        <v>4</v>
      </c>
      <c r="R572">
        <v>8.49</v>
      </c>
      <c r="S572" t="s">
        <v>30</v>
      </c>
      <c r="T572" t="s">
        <v>31</v>
      </c>
      <c r="U572">
        <v>12</v>
      </c>
    </row>
    <row r="573" spans="1:21" x14ac:dyDescent="0.25">
      <c r="A573" t="s">
        <v>34</v>
      </c>
      <c r="B573" t="s">
        <v>35</v>
      </c>
      <c r="C573" t="s">
        <v>22</v>
      </c>
      <c r="D573" t="s">
        <v>23</v>
      </c>
      <c r="E573" t="s">
        <v>24</v>
      </c>
      <c r="F573">
        <v>91</v>
      </c>
      <c r="G573">
        <v>96</v>
      </c>
      <c r="H573">
        <v>92</v>
      </c>
      <c r="J573">
        <v>91</v>
      </c>
      <c r="K573">
        <v>9.5393920140000006</v>
      </c>
      <c r="L573">
        <v>91</v>
      </c>
      <c r="M573">
        <v>96</v>
      </c>
      <c r="N573">
        <v>279</v>
      </c>
      <c r="O573">
        <v>93</v>
      </c>
      <c r="P573">
        <v>91.5</v>
      </c>
      <c r="Q573">
        <v>2</v>
      </c>
      <c r="R573">
        <v>9.64</v>
      </c>
      <c r="S573" t="s">
        <v>25</v>
      </c>
      <c r="T573" t="s">
        <v>26</v>
      </c>
      <c r="U573">
        <v>17</v>
      </c>
    </row>
    <row r="574" spans="1:21" x14ac:dyDescent="0.25">
      <c r="A574" t="s">
        <v>20</v>
      </c>
      <c r="B574" t="s">
        <v>27</v>
      </c>
      <c r="C574" t="s">
        <v>28</v>
      </c>
      <c r="D574" t="s">
        <v>23</v>
      </c>
      <c r="E574" t="s">
        <v>24</v>
      </c>
      <c r="F574">
        <v>53</v>
      </c>
      <c r="G574">
        <v>62</v>
      </c>
      <c r="H574">
        <v>56</v>
      </c>
      <c r="J574">
        <v>53</v>
      </c>
      <c r="K574">
        <v>7.2801098890000002</v>
      </c>
      <c r="L574">
        <v>53</v>
      </c>
      <c r="M574">
        <v>62</v>
      </c>
      <c r="N574">
        <v>171</v>
      </c>
      <c r="O574">
        <v>57</v>
      </c>
      <c r="P574">
        <v>54.5</v>
      </c>
      <c r="Q574">
        <v>2</v>
      </c>
      <c r="R574">
        <v>7.55</v>
      </c>
      <c r="S574" t="s">
        <v>30</v>
      </c>
      <c r="T574" t="s">
        <v>31</v>
      </c>
      <c r="U574">
        <v>12</v>
      </c>
    </row>
    <row r="575" spans="1:21" x14ac:dyDescent="0.25">
      <c r="A575" t="s">
        <v>20</v>
      </c>
      <c r="B575" t="s">
        <v>27</v>
      </c>
      <c r="C575" t="s">
        <v>40</v>
      </c>
      <c r="D575" t="s">
        <v>37</v>
      </c>
      <c r="E575" t="s">
        <v>29</v>
      </c>
      <c r="F575">
        <v>50</v>
      </c>
      <c r="G575">
        <v>66</v>
      </c>
      <c r="H575">
        <v>64</v>
      </c>
      <c r="J575">
        <v>50</v>
      </c>
      <c r="K575">
        <v>7.0710678119999999</v>
      </c>
      <c r="L575">
        <v>50</v>
      </c>
      <c r="M575">
        <v>66</v>
      </c>
      <c r="N575">
        <v>180</v>
      </c>
      <c r="O575">
        <v>60</v>
      </c>
      <c r="P575">
        <v>57</v>
      </c>
      <c r="Q575">
        <v>2</v>
      </c>
      <c r="R575">
        <v>7.75</v>
      </c>
      <c r="S575" t="s">
        <v>41</v>
      </c>
      <c r="T575" t="s">
        <v>42</v>
      </c>
      <c r="U575">
        <v>11</v>
      </c>
    </row>
    <row r="576" spans="1:21" x14ac:dyDescent="0.25">
      <c r="A576" t="s">
        <v>20</v>
      </c>
      <c r="B576" t="s">
        <v>64</v>
      </c>
      <c r="C576" t="s">
        <v>40</v>
      </c>
      <c r="D576" t="s">
        <v>23</v>
      </c>
      <c r="E576" t="s">
        <v>24</v>
      </c>
      <c r="F576">
        <v>74</v>
      </c>
      <c r="G576">
        <v>81</v>
      </c>
      <c r="H576">
        <v>71</v>
      </c>
      <c r="J576">
        <v>74</v>
      </c>
      <c r="K576">
        <v>8.6023252669999994</v>
      </c>
      <c r="L576">
        <v>71</v>
      </c>
      <c r="M576">
        <v>81</v>
      </c>
      <c r="N576">
        <v>226</v>
      </c>
      <c r="O576">
        <v>75.333333330000002</v>
      </c>
      <c r="P576">
        <v>74</v>
      </c>
      <c r="Q576">
        <v>4</v>
      </c>
      <c r="R576">
        <v>8.68</v>
      </c>
      <c r="S576" t="s">
        <v>41</v>
      </c>
      <c r="T576" t="s">
        <v>42</v>
      </c>
      <c r="U576">
        <v>11</v>
      </c>
    </row>
    <row r="577" spans="1:21" x14ac:dyDescent="0.25">
      <c r="A577" t="s">
        <v>34</v>
      </c>
      <c r="B577" t="s">
        <v>35</v>
      </c>
      <c r="C577" t="s">
        <v>36</v>
      </c>
      <c r="D577" t="s">
        <v>37</v>
      </c>
      <c r="E577" t="s">
        <v>29</v>
      </c>
      <c r="F577">
        <v>40</v>
      </c>
      <c r="G577">
        <v>55</v>
      </c>
      <c r="H577">
        <v>53</v>
      </c>
      <c r="J577">
        <v>40</v>
      </c>
      <c r="K577">
        <v>6.32455532</v>
      </c>
      <c r="L577">
        <v>40</v>
      </c>
      <c r="M577">
        <v>55</v>
      </c>
      <c r="N577">
        <v>148</v>
      </c>
      <c r="O577">
        <v>49.333333330000002</v>
      </c>
      <c r="P577">
        <v>46.5</v>
      </c>
      <c r="Q577">
        <v>2</v>
      </c>
      <c r="R577">
        <v>7.02</v>
      </c>
      <c r="S577" t="s">
        <v>38</v>
      </c>
      <c r="T577" t="s">
        <v>26</v>
      </c>
      <c r="U577">
        <v>18</v>
      </c>
    </row>
    <row r="578" spans="1:21" x14ac:dyDescent="0.25">
      <c r="A578" t="s">
        <v>34</v>
      </c>
      <c r="B578" t="s">
        <v>35</v>
      </c>
      <c r="C578" t="s">
        <v>28</v>
      </c>
      <c r="D578" t="s">
        <v>23</v>
      </c>
      <c r="E578" t="s">
        <v>29</v>
      </c>
      <c r="F578">
        <v>61</v>
      </c>
      <c r="G578">
        <v>51</v>
      </c>
      <c r="H578">
        <v>52</v>
      </c>
      <c r="J578">
        <v>61</v>
      </c>
      <c r="K578">
        <v>7.8102496759999998</v>
      </c>
      <c r="L578">
        <v>51</v>
      </c>
      <c r="M578">
        <v>61</v>
      </c>
      <c r="N578">
        <v>164</v>
      </c>
      <c r="O578">
        <v>54.666666669999998</v>
      </c>
      <c r="P578">
        <v>56.5</v>
      </c>
      <c r="Q578">
        <v>3</v>
      </c>
      <c r="R578">
        <v>7.39</v>
      </c>
      <c r="S578" t="s">
        <v>30</v>
      </c>
      <c r="T578" t="s">
        <v>31</v>
      </c>
      <c r="U578">
        <v>12</v>
      </c>
    </row>
    <row r="579" spans="1:21" x14ac:dyDescent="0.25">
      <c r="A579" t="s">
        <v>20</v>
      </c>
      <c r="B579" t="s">
        <v>21</v>
      </c>
      <c r="C579" t="s">
        <v>40</v>
      </c>
      <c r="D579" t="s">
        <v>23</v>
      </c>
      <c r="E579" t="s">
        <v>24</v>
      </c>
      <c r="F579">
        <v>81</v>
      </c>
      <c r="G579">
        <v>91</v>
      </c>
      <c r="H579">
        <v>89</v>
      </c>
      <c r="J579">
        <v>81</v>
      </c>
      <c r="K579">
        <v>9</v>
      </c>
      <c r="L579">
        <v>81</v>
      </c>
      <c r="M579">
        <v>91</v>
      </c>
      <c r="N579">
        <v>261</v>
      </c>
      <c r="O579">
        <v>87</v>
      </c>
      <c r="P579">
        <v>85</v>
      </c>
      <c r="Q579">
        <v>2</v>
      </c>
      <c r="R579">
        <v>9.33</v>
      </c>
      <c r="S579" t="s">
        <v>41</v>
      </c>
      <c r="T579" t="s">
        <v>42</v>
      </c>
      <c r="U579">
        <v>11</v>
      </c>
    </row>
    <row r="580" spans="1:21" x14ac:dyDescent="0.25">
      <c r="A580" t="s">
        <v>20</v>
      </c>
      <c r="B580" t="s">
        <v>21</v>
      </c>
      <c r="C580" t="s">
        <v>28</v>
      </c>
      <c r="D580" t="s">
        <v>37</v>
      </c>
      <c r="E580" t="s">
        <v>29</v>
      </c>
      <c r="F580">
        <v>48</v>
      </c>
      <c r="G580">
        <v>56</v>
      </c>
      <c r="H580">
        <v>58</v>
      </c>
      <c r="J580">
        <v>48</v>
      </c>
      <c r="K580">
        <v>6.9282032300000003</v>
      </c>
      <c r="L580">
        <v>48</v>
      </c>
      <c r="M580">
        <v>58</v>
      </c>
      <c r="N580">
        <v>162</v>
      </c>
      <c r="O580">
        <v>54</v>
      </c>
      <c r="P580">
        <v>52</v>
      </c>
      <c r="Q580">
        <v>1</v>
      </c>
      <c r="R580">
        <v>7.35</v>
      </c>
      <c r="S580" t="s">
        <v>30</v>
      </c>
      <c r="T580" t="s">
        <v>31</v>
      </c>
      <c r="U580">
        <v>12</v>
      </c>
    </row>
    <row r="581" spans="1:21" x14ac:dyDescent="0.25">
      <c r="A581" t="s">
        <v>20</v>
      </c>
      <c r="B581" t="s">
        <v>39</v>
      </c>
      <c r="C581" t="s">
        <v>32</v>
      </c>
      <c r="D581" t="s">
        <v>23</v>
      </c>
      <c r="E581" t="s">
        <v>24</v>
      </c>
      <c r="F581">
        <v>53</v>
      </c>
      <c r="G581">
        <v>61</v>
      </c>
      <c r="H581">
        <v>68</v>
      </c>
      <c r="J581">
        <v>53</v>
      </c>
      <c r="K581">
        <v>7.2801098890000002</v>
      </c>
      <c r="L581">
        <v>53</v>
      </c>
      <c r="M581">
        <v>68</v>
      </c>
      <c r="N581">
        <v>182</v>
      </c>
      <c r="O581">
        <v>60.666666669999998</v>
      </c>
      <c r="P581">
        <v>57</v>
      </c>
      <c r="Q581">
        <v>1</v>
      </c>
      <c r="R581">
        <v>7.79</v>
      </c>
      <c r="S581" t="s">
        <v>33</v>
      </c>
      <c r="T581" t="s">
        <v>26</v>
      </c>
      <c r="U581">
        <v>15</v>
      </c>
    </row>
    <row r="582" spans="1:21" x14ac:dyDescent="0.25">
      <c r="A582" t="s">
        <v>20</v>
      </c>
      <c r="B582" t="s">
        <v>39</v>
      </c>
      <c r="C582" t="s">
        <v>50</v>
      </c>
      <c r="D582" t="s">
        <v>23</v>
      </c>
      <c r="E582" t="s">
        <v>24</v>
      </c>
      <c r="F582">
        <v>81</v>
      </c>
      <c r="G582">
        <v>97</v>
      </c>
      <c r="H582">
        <v>96</v>
      </c>
      <c r="J582">
        <v>81</v>
      </c>
      <c r="K582">
        <v>9</v>
      </c>
      <c r="L582">
        <v>81</v>
      </c>
      <c r="M582">
        <v>97</v>
      </c>
      <c r="N582">
        <v>274</v>
      </c>
      <c r="O582">
        <v>91.333333330000002</v>
      </c>
      <c r="P582">
        <v>88.5</v>
      </c>
      <c r="Q582">
        <v>2</v>
      </c>
      <c r="R582">
        <v>9.56</v>
      </c>
      <c r="S582" t="s">
        <v>30</v>
      </c>
      <c r="T582" t="s">
        <v>42</v>
      </c>
      <c r="U582">
        <v>16</v>
      </c>
    </row>
    <row r="583" spans="1:21" x14ac:dyDescent="0.25">
      <c r="A583" t="s">
        <v>20</v>
      </c>
      <c r="B583" t="s">
        <v>64</v>
      </c>
      <c r="C583" t="s">
        <v>50</v>
      </c>
      <c r="D583" t="s">
        <v>23</v>
      </c>
      <c r="E583" t="s">
        <v>24</v>
      </c>
      <c r="F583">
        <v>77</v>
      </c>
      <c r="G583">
        <v>79</v>
      </c>
      <c r="H583">
        <v>80</v>
      </c>
      <c r="J583">
        <v>77</v>
      </c>
      <c r="K583">
        <v>8.7749643870000007</v>
      </c>
      <c r="L583">
        <v>77</v>
      </c>
      <c r="M583">
        <v>80</v>
      </c>
      <c r="N583">
        <v>236</v>
      </c>
      <c r="O583">
        <v>78.666666669999998</v>
      </c>
      <c r="P583">
        <v>78</v>
      </c>
      <c r="Q583">
        <v>1</v>
      </c>
      <c r="R583">
        <v>8.8699999999999992</v>
      </c>
      <c r="S583" t="s">
        <v>30</v>
      </c>
      <c r="T583" t="s">
        <v>42</v>
      </c>
      <c r="U583">
        <v>16</v>
      </c>
    </row>
    <row r="584" spans="1:21" x14ac:dyDescent="0.25">
      <c r="A584" t="s">
        <v>20</v>
      </c>
      <c r="B584" t="s">
        <v>39</v>
      </c>
      <c r="C584" t="s">
        <v>22</v>
      </c>
      <c r="D584" t="s">
        <v>37</v>
      </c>
      <c r="E584" t="s">
        <v>24</v>
      </c>
      <c r="F584">
        <v>63</v>
      </c>
      <c r="G584">
        <v>73</v>
      </c>
      <c r="H584">
        <v>78</v>
      </c>
      <c r="J584">
        <v>63</v>
      </c>
      <c r="K584">
        <v>7.937253933</v>
      </c>
      <c r="L584">
        <v>63</v>
      </c>
      <c r="M584">
        <v>78</v>
      </c>
      <c r="N584">
        <v>214</v>
      </c>
      <c r="O584">
        <v>71.333333330000002</v>
      </c>
      <c r="P584">
        <v>68</v>
      </c>
      <c r="Q584">
        <v>1</v>
      </c>
      <c r="R584">
        <v>8.4499999999999993</v>
      </c>
      <c r="S584" t="s">
        <v>25</v>
      </c>
      <c r="T584" t="s">
        <v>26</v>
      </c>
      <c r="U584">
        <v>17</v>
      </c>
    </row>
    <row r="585" spans="1:21" x14ac:dyDescent="0.25">
      <c r="A585" t="s">
        <v>20</v>
      </c>
      <c r="B585" t="s">
        <v>39</v>
      </c>
      <c r="C585" t="s">
        <v>36</v>
      </c>
      <c r="D585" t="s">
        <v>23</v>
      </c>
      <c r="E585" t="s">
        <v>29</v>
      </c>
      <c r="F585">
        <v>73</v>
      </c>
      <c r="G585">
        <v>75</v>
      </c>
      <c r="H585">
        <v>80</v>
      </c>
      <c r="J585">
        <v>73</v>
      </c>
      <c r="K585">
        <v>8.5440037449999995</v>
      </c>
      <c r="L585">
        <v>73</v>
      </c>
      <c r="M585">
        <v>80</v>
      </c>
      <c r="N585">
        <v>228</v>
      </c>
      <c r="O585">
        <v>76</v>
      </c>
      <c r="P585">
        <v>74</v>
      </c>
      <c r="Q585">
        <v>1</v>
      </c>
      <c r="R585">
        <v>8.7200000000000006</v>
      </c>
      <c r="S585" t="s">
        <v>38</v>
      </c>
      <c r="T585" t="s">
        <v>26</v>
      </c>
      <c r="U585">
        <v>18</v>
      </c>
    </row>
    <row r="586" spans="1:21" x14ac:dyDescent="0.25">
      <c r="A586" t="s">
        <v>20</v>
      </c>
      <c r="B586" t="s">
        <v>39</v>
      </c>
      <c r="C586" t="s">
        <v>28</v>
      </c>
      <c r="D586" t="s">
        <v>23</v>
      </c>
      <c r="E586" t="s">
        <v>24</v>
      </c>
      <c r="F586">
        <v>69</v>
      </c>
      <c r="G586">
        <v>77</v>
      </c>
      <c r="H586">
        <v>77</v>
      </c>
      <c r="J586">
        <v>69</v>
      </c>
      <c r="K586">
        <v>8.3066238630000004</v>
      </c>
      <c r="L586">
        <v>69</v>
      </c>
      <c r="M586">
        <v>77</v>
      </c>
      <c r="N586">
        <v>223</v>
      </c>
      <c r="O586">
        <v>74.333333330000002</v>
      </c>
      <c r="P586">
        <v>73</v>
      </c>
      <c r="Q586">
        <v>1</v>
      </c>
      <c r="R586">
        <v>8.6199999999999992</v>
      </c>
      <c r="S586" t="s">
        <v>30</v>
      </c>
      <c r="T586" t="s">
        <v>31</v>
      </c>
      <c r="U586">
        <v>12</v>
      </c>
    </row>
    <row r="587" spans="1:21" x14ac:dyDescent="0.25">
      <c r="A587" t="s">
        <v>20</v>
      </c>
      <c r="B587" t="s">
        <v>27</v>
      </c>
      <c r="C587" t="s">
        <v>36</v>
      </c>
      <c r="D587" t="s">
        <v>23</v>
      </c>
      <c r="E587" t="s">
        <v>24</v>
      </c>
      <c r="F587">
        <v>65</v>
      </c>
      <c r="G587">
        <v>76</v>
      </c>
      <c r="H587">
        <v>76</v>
      </c>
      <c r="J587">
        <v>65</v>
      </c>
      <c r="K587">
        <v>8.0622577480000004</v>
      </c>
      <c r="L587">
        <v>65</v>
      </c>
      <c r="M587">
        <v>76</v>
      </c>
      <c r="N587">
        <v>217</v>
      </c>
      <c r="O587">
        <v>72.333333330000002</v>
      </c>
      <c r="P587">
        <v>70.5</v>
      </c>
      <c r="Q587">
        <v>1</v>
      </c>
      <c r="R587">
        <v>8.5</v>
      </c>
      <c r="S587" t="s">
        <v>38</v>
      </c>
      <c r="T587" t="s">
        <v>26</v>
      </c>
      <c r="U587">
        <v>18</v>
      </c>
    </row>
    <row r="588" spans="1:21" x14ac:dyDescent="0.25">
      <c r="A588" t="s">
        <v>20</v>
      </c>
      <c r="B588" t="s">
        <v>35</v>
      </c>
      <c r="C588" t="s">
        <v>40</v>
      </c>
      <c r="D588" t="s">
        <v>23</v>
      </c>
      <c r="E588" t="s">
        <v>24</v>
      </c>
      <c r="F588">
        <v>55</v>
      </c>
      <c r="G588">
        <v>73</v>
      </c>
      <c r="H588">
        <v>73</v>
      </c>
      <c r="J588">
        <v>55</v>
      </c>
      <c r="K588">
        <v>7.416198487</v>
      </c>
      <c r="L588">
        <v>55</v>
      </c>
      <c r="M588">
        <v>73</v>
      </c>
      <c r="N588">
        <v>201</v>
      </c>
      <c r="O588">
        <v>67</v>
      </c>
      <c r="P588">
        <v>64</v>
      </c>
      <c r="Q588">
        <v>1</v>
      </c>
      <c r="R588">
        <v>8.19</v>
      </c>
      <c r="S588" t="s">
        <v>41</v>
      </c>
      <c r="T588" t="s">
        <v>42</v>
      </c>
      <c r="U588">
        <v>11</v>
      </c>
    </row>
    <row r="589" spans="1:21" x14ac:dyDescent="0.25">
      <c r="A589" t="s">
        <v>20</v>
      </c>
      <c r="B589" t="s">
        <v>27</v>
      </c>
      <c r="C589" t="s">
        <v>22</v>
      </c>
      <c r="D589" t="s">
        <v>37</v>
      </c>
      <c r="E589" t="s">
        <v>24</v>
      </c>
      <c r="F589">
        <v>44</v>
      </c>
      <c r="G589">
        <v>63</v>
      </c>
      <c r="H589">
        <v>62</v>
      </c>
      <c r="J589">
        <v>44</v>
      </c>
      <c r="K589">
        <v>6.6332495810000003</v>
      </c>
      <c r="L589">
        <v>44</v>
      </c>
      <c r="M589">
        <v>63</v>
      </c>
      <c r="N589">
        <v>169</v>
      </c>
      <c r="O589">
        <v>56.333333330000002</v>
      </c>
      <c r="P589">
        <v>53</v>
      </c>
      <c r="Q589">
        <v>2</v>
      </c>
      <c r="R589">
        <v>7.51</v>
      </c>
      <c r="S589" t="s">
        <v>25</v>
      </c>
      <c r="T589" t="s">
        <v>26</v>
      </c>
      <c r="U589">
        <v>17</v>
      </c>
    </row>
    <row r="590" spans="1:21" x14ac:dyDescent="0.25">
      <c r="A590" t="s">
        <v>20</v>
      </c>
      <c r="B590" t="s">
        <v>27</v>
      </c>
      <c r="C590" t="s">
        <v>28</v>
      </c>
      <c r="D590" t="s">
        <v>23</v>
      </c>
      <c r="E590" t="s">
        <v>24</v>
      </c>
      <c r="F590">
        <v>54</v>
      </c>
      <c r="G590">
        <v>64</v>
      </c>
      <c r="H590">
        <v>65</v>
      </c>
      <c r="J590">
        <v>54</v>
      </c>
      <c r="K590">
        <v>7.3484692279999999</v>
      </c>
      <c r="L590">
        <v>54</v>
      </c>
      <c r="M590">
        <v>65</v>
      </c>
      <c r="N590">
        <v>183</v>
      </c>
      <c r="O590">
        <v>61</v>
      </c>
      <c r="P590">
        <v>59</v>
      </c>
      <c r="Q590">
        <v>1</v>
      </c>
      <c r="R590">
        <v>7.81</v>
      </c>
      <c r="S590" t="s">
        <v>30</v>
      </c>
      <c r="T590" t="s">
        <v>31</v>
      </c>
      <c r="U590">
        <v>12</v>
      </c>
    </row>
    <row r="591" spans="1:21" x14ac:dyDescent="0.25">
      <c r="A591" t="s">
        <v>20</v>
      </c>
      <c r="B591" t="s">
        <v>35</v>
      </c>
      <c r="C591" t="s">
        <v>50</v>
      </c>
      <c r="D591" t="s">
        <v>23</v>
      </c>
      <c r="E591" t="s">
        <v>24</v>
      </c>
      <c r="F591">
        <v>48</v>
      </c>
      <c r="G591">
        <v>66</v>
      </c>
      <c r="H591">
        <v>65</v>
      </c>
      <c r="J591">
        <v>48</v>
      </c>
      <c r="K591">
        <v>6.9282032300000003</v>
      </c>
      <c r="L591">
        <v>48</v>
      </c>
      <c r="M591">
        <v>66</v>
      </c>
      <c r="N591">
        <v>179</v>
      </c>
      <c r="O591">
        <v>59.666666669999998</v>
      </c>
      <c r="P591">
        <v>56.5</v>
      </c>
      <c r="Q591">
        <v>2</v>
      </c>
      <c r="R591">
        <v>7.72</v>
      </c>
      <c r="S591" t="s">
        <v>30</v>
      </c>
      <c r="T591" t="s">
        <v>42</v>
      </c>
      <c r="U591">
        <v>16</v>
      </c>
    </row>
    <row r="592" spans="1:21" x14ac:dyDescent="0.25">
      <c r="A592" t="s">
        <v>34</v>
      </c>
      <c r="B592" t="s">
        <v>27</v>
      </c>
      <c r="C592" t="s">
        <v>28</v>
      </c>
      <c r="D592" t="s">
        <v>37</v>
      </c>
      <c r="E592" t="s">
        <v>24</v>
      </c>
      <c r="F592">
        <v>58</v>
      </c>
      <c r="G592">
        <v>57</v>
      </c>
      <c r="H592">
        <v>54</v>
      </c>
      <c r="J592">
        <v>58</v>
      </c>
      <c r="K592">
        <v>7.6157731059999998</v>
      </c>
      <c r="L592">
        <v>54</v>
      </c>
      <c r="M592">
        <v>58</v>
      </c>
      <c r="N592">
        <v>169</v>
      </c>
      <c r="O592">
        <v>56.333333330000002</v>
      </c>
      <c r="P592">
        <v>57.5</v>
      </c>
      <c r="Q592">
        <v>4</v>
      </c>
      <c r="R592">
        <v>7.51</v>
      </c>
      <c r="S592" t="s">
        <v>30</v>
      </c>
      <c r="T592" t="s">
        <v>31</v>
      </c>
      <c r="U592">
        <v>12</v>
      </c>
    </row>
    <row r="593" spans="1:21" x14ac:dyDescent="0.25">
      <c r="A593" t="s">
        <v>34</v>
      </c>
      <c r="B593" t="s">
        <v>35</v>
      </c>
      <c r="C593" t="s">
        <v>50</v>
      </c>
      <c r="D593" t="s">
        <v>23</v>
      </c>
      <c r="E593" t="s">
        <v>24</v>
      </c>
      <c r="F593">
        <v>71</v>
      </c>
      <c r="G593">
        <v>62</v>
      </c>
      <c r="H593">
        <v>50</v>
      </c>
      <c r="J593">
        <v>71</v>
      </c>
      <c r="K593">
        <v>8.4261497730000006</v>
      </c>
      <c r="L593">
        <v>50</v>
      </c>
      <c r="M593">
        <v>71</v>
      </c>
      <c r="N593">
        <v>183</v>
      </c>
      <c r="O593">
        <v>61</v>
      </c>
      <c r="P593">
        <v>66.5</v>
      </c>
      <c r="Q593">
        <v>4</v>
      </c>
      <c r="R593">
        <v>7.81</v>
      </c>
      <c r="S593" t="s">
        <v>30</v>
      </c>
      <c r="T593" t="s">
        <v>42</v>
      </c>
      <c r="U593">
        <v>16</v>
      </c>
    </row>
    <row r="594" spans="1:21" x14ac:dyDescent="0.25">
      <c r="A594" t="s">
        <v>34</v>
      </c>
      <c r="B594" t="s">
        <v>64</v>
      </c>
      <c r="C594" t="s">
        <v>22</v>
      </c>
      <c r="D594" t="s">
        <v>23</v>
      </c>
      <c r="E594" t="s">
        <v>24</v>
      </c>
      <c r="F594">
        <v>68</v>
      </c>
      <c r="G594">
        <v>68</v>
      </c>
      <c r="H594">
        <v>64</v>
      </c>
      <c r="J594">
        <v>68</v>
      </c>
      <c r="K594">
        <v>8.2462112510000001</v>
      </c>
      <c r="L594">
        <v>64</v>
      </c>
      <c r="M594">
        <v>68</v>
      </c>
      <c r="N594">
        <v>200</v>
      </c>
      <c r="O594">
        <v>66.666666669999998</v>
      </c>
      <c r="P594">
        <v>68</v>
      </c>
      <c r="Q594">
        <v>4</v>
      </c>
      <c r="R594">
        <v>8.16</v>
      </c>
      <c r="S594" t="s">
        <v>25</v>
      </c>
      <c r="T594" t="s">
        <v>26</v>
      </c>
      <c r="U594">
        <v>17</v>
      </c>
    </row>
    <row r="595" spans="1:21" x14ac:dyDescent="0.25">
      <c r="A595" t="s">
        <v>20</v>
      </c>
      <c r="B595" t="s">
        <v>64</v>
      </c>
      <c r="C595" t="s">
        <v>40</v>
      </c>
      <c r="D595" t="s">
        <v>23</v>
      </c>
      <c r="E595" t="s">
        <v>24</v>
      </c>
      <c r="F595">
        <v>74</v>
      </c>
      <c r="G595">
        <v>76</v>
      </c>
      <c r="H595">
        <v>73</v>
      </c>
      <c r="J595">
        <v>74</v>
      </c>
      <c r="K595">
        <v>8.6023252669999994</v>
      </c>
      <c r="L595">
        <v>73</v>
      </c>
      <c r="M595">
        <v>76</v>
      </c>
      <c r="N595">
        <v>223</v>
      </c>
      <c r="O595">
        <v>74.333333330000002</v>
      </c>
      <c r="P595">
        <v>74</v>
      </c>
      <c r="Q595">
        <v>4</v>
      </c>
      <c r="R595">
        <v>8.6199999999999992</v>
      </c>
      <c r="S595" t="s">
        <v>41</v>
      </c>
      <c r="T595" t="s">
        <v>42</v>
      </c>
      <c r="U595">
        <v>11</v>
      </c>
    </row>
    <row r="596" spans="1:21" x14ac:dyDescent="0.25">
      <c r="A596" t="s">
        <v>20</v>
      </c>
      <c r="B596" t="s">
        <v>27</v>
      </c>
      <c r="C596" t="s">
        <v>22</v>
      </c>
      <c r="D596" t="s">
        <v>23</v>
      </c>
      <c r="E596" t="s">
        <v>29</v>
      </c>
      <c r="F596">
        <v>92</v>
      </c>
      <c r="G596">
        <v>100</v>
      </c>
      <c r="H596">
        <v>99</v>
      </c>
      <c r="J596">
        <v>92</v>
      </c>
      <c r="K596">
        <v>9.5916630470000008</v>
      </c>
      <c r="L596">
        <v>92</v>
      </c>
      <c r="M596">
        <v>100</v>
      </c>
      <c r="N596">
        <v>291</v>
      </c>
      <c r="O596">
        <v>97</v>
      </c>
      <c r="P596">
        <v>95.5</v>
      </c>
      <c r="Q596">
        <v>2</v>
      </c>
      <c r="R596">
        <v>9.85</v>
      </c>
      <c r="S596" t="s">
        <v>25</v>
      </c>
      <c r="T596" t="s">
        <v>26</v>
      </c>
      <c r="U596">
        <v>17</v>
      </c>
    </row>
    <row r="597" spans="1:21" x14ac:dyDescent="0.25">
      <c r="A597" t="s">
        <v>20</v>
      </c>
      <c r="B597" t="s">
        <v>27</v>
      </c>
      <c r="C597" t="s">
        <v>22</v>
      </c>
      <c r="D597" t="s">
        <v>23</v>
      </c>
      <c r="E597" t="s">
        <v>29</v>
      </c>
      <c r="F597">
        <v>56</v>
      </c>
      <c r="G597">
        <v>79</v>
      </c>
      <c r="H597">
        <v>72</v>
      </c>
      <c r="J597">
        <v>56</v>
      </c>
      <c r="K597">
        <v>7.4833147740000001</v>
      </c>
      <c r="L597">
        <v>56</v>
      </c>
      <c r="M597">
        <v>79</v>
      </c>
      <c r="N597">
        <v>207</v>
      </c>
      <c r="O597">
        <v>69</v>
      </c>
      <c r="P597">
        <v>64</v>
      </c>
      <c r="Q597">
        <v>2</v>
      </c>
      <c r="R597">
        <v>8.31</v>
      </c>
      <c r="S597" t="s">
        <v>25</v>
      </c>
      <c r="T597" t="s">
        <v>26</v>
      </c>
      <c r="U597">
        <v>17</v>
      </c>
    </row>
    <row r="598" spans="1:21" x14ac:dyDescent="0.25">
      <c r="A598" t="s">
        <v>34</v>
      </c>
      <c r="B598" t="s">
        <v>21</v>
      </c>
      <c r="C598" t="s">
        <v>40</v>
      </c>
      <c r="D598" t="s">
        <v>37</v>
      </c>
      <c r="E598" t="s">
        <v>24</v>
      </c>
      <c r="F598">
        <v>30</v>
      </c>
      <c r="G598">
        <v>24</v>
      </c>
      <c r="H598">
        <v>15</v>
      </c>
      <c r="J598">
        <v>30</v>
      </c>
      <c r="K598">
        <v>5.4772255750000003</v>
      </c>
      <c r="L598">
        <v>15</v>
      </c>
      <c r="M598">
        <v>30</v>
      </c>
      <c r="N598">
        <v>69</v>
      </c>
      <c r="O598">
        <v>23</v>
      </c>
      <c r="P598">
        <v>27</v>
      </c>
      <c r="Q598">
        <v>4</v>
      </c>
      <c r="R598">
        <v>4.8</v>
      </c>
      <c r="S598" t="s">
        <v>41</v>
      </c>
      <c r="T598" t="s">
        <v>42</v>
      </c>
      <c r="U598">
        <v>11</v>
      </c>
    </row>
    <row r="599" spans="1:21" x14ac:dyDescent="0.25">
      <c r="A599" t="s">
        <v>34</v>
      </c>
      <c r="B599" t="s">
        <v>35</v>
      </c>
      <c r="C599" t="s">
        <v>50</v>
      </c>
      <c r="D599" t="s">
        <v>23</v>
      </c>
      <c r="E599" t="s">
        <v>24</v>
      </c>
      <c r="F599">
        <v>53</v>
      </c>
      <c r="G599">
        <v>54</v>
      </c>
      <c r="H599">
        <v>48</v>
      </c>
      <c r="J599">
        <v>53</v>
      </c>
      <c r="K599">
        <v>7.2801098890000002</v>
      </c>
      <c r="L599">
        <v>48</v>
      </c>
      <c r="M599">
        <v>54</v>
      </c>
      <c r="N599">
        <v>155</v>
      </c>
      <c r="O599">
        <v>51.666666669999998</v>
      </c>
      <c r="P599">
        <v>53</v>
      </c>
      <c r="Q599">
        <v>4</v>
      </c>
      <c r="R599">
        <v>7.19</v>
      </c>
      <c r="S599" t="s">
        <v>30</v>
      </c>
      <c r="T599" t="s">
        <v>42</v>
      </c>
      <c r="U599">
        <v>16</v>
      </c>
    </row>
    <row r="600" spans="1:21" x14ac:dyDescent="0.25">
      <c r="A600" t="s">
        <v>20</v>
      </c>
      <c r="B600" t="s">
        <v>39</v>
      </c>
      <c r="C600" t="s">
        <v>40</v>
      </c>
      <c r="D600" t="s">
        <v>23</v>
      </c>
      <c r="E600" t="s">
        <v>24</v>
      </c>
      <c r="F600">
        <v>69</v>
      </c>
      <c r="G600">
        <v>77</v>
      </c>
      <c r="H600">
        <v>73</v>
      </c>
      <c r="J600">
        <v>69</v>
      </c>
      <c r="K600">
        <v>8.3066238630000004</v>
      </c>
      <c r="L600">
        <v>69</v>
      </c>
      <c r="M600">
        <v>77</v>
      </c>
      <c r="N600">
        <v>219</v>
      </c>
      <c r="O600">
        <v>73</v>
      </c>
      <c r="P600">
        <v>71</v>
      </c>
      <c r="Q600">
        <v>2</v>
      </c>
      <c r="R600">
        <v>8.5399999999999991</v>
      </c>
      <c r="S600" t="s">
        <v>41</v>
      </c>
      <c r="T600" t="s">
        <v>42</v>
      </c>
      <c r="U600">
        <v>11</v>
      </c>
    </row>
    <row r="601" spans="1:21" x14ac:dyDescent="0.25">
      <c r="A601" t="s">
        <v>20</v>
      </c>
      <c r="B601" t="s">
        <v>39</v>
      </c>
      <c r="C601" t="s">
        <v>50</v>
      </c>
      <c r="D601" t="s">
        <v>23</v>
      </c>
      <c r="E601" t="s">
        <v>24</v>
      </c>
      <c r="F601">
        <v>65</v>
      </c>
      <c r="G601">
        <v>82</v>
      </c>
      <c r="H601">
        <v>81</v>
      </c>
      <c r="J601">
        <v>65</v>
      </c>
      <c r="K601">
        <v>8.0622577480000004</v>
      </c>
      <c r="L601">
        <v>65</v>
      </c>
      <c r="M601">
        <v>82</v>
      </c>
      <c r="N601">
        <v>228</v>
      </c>
      <c r="O601">
        <v>76</v>
      </c>
      <c r="P601">
        <v>73</v>
      </c>
      <c r="Q601">
        <v>2</v>
      </c>
      <c r="R601">
        <v>8.7200000000000006</v>
      </c>
      <c r="S601" t="s">
        <v>30</v>
      </c>
      <c r="T601" t="s">
        <v>42</v>
      </c>
      <c r="U601">
        <v>16</v>
      </c>
    </row>
    <row r="602" spans="1:21" x14ac:dyDescent="0.25">
      <c r="A602" t="s">
        <v>20</v>
      </c>
      <c r="B602" t="s">
        <v>39</v>
      </c>
      <c r="C602" t="s">
        <v>32</v>
      </c>
      <c r="D602" t="s">
        <v>23</v>
      </c>
      <c r="E602" t="s">
        <v>24</v>
      </c>
      <c r="F602">
        <v>54</v>
      </c>
      <c r="G602">
        <v>60</v>
      </c>
      <c r="H602">
        <v>63</v>
      </c>
      <c r="J602">
        <v>54</v>
      </c>
      <c r="K602">
        <v>7.3484692279999999</v>
      </c>
      <c r="L602">
        <v>54</v>
      </c>
      <c r="M602">
        <v>63</v>
      </c>
      <c r="N602">
        <v>177</v>
      </c>
      <c r="O602">
        <v>59</v>
      </c>
      <c r="P602">
        <v>57</v>
      </c>
      <c r="Q602">
        <v>1</v>
      </c>
      <c r="R602">
        <v>7.68</v>
      </c>
      <c r="S602" t="s">
        <v>33</v>
      </c>
      <c r="T602" t="s">
        <v>26</v>
      </c>
      <c r="U602">
        <v>15</v>
      </c>
    </row>
    <row r="603" spans="1:21" x14ac:dyDescent="0.25">
      <c r="A603" t="s">
        <v>20</v>
      </c>
      <c r="B603" t="s">
        <v>27</v>
      </c>
      <c r="C603" t="s">
        <v>40</v>
      </c>
      <c r="D603" t="s">
        <v>23</v>
      </c>
      <c r="E603" t="s">
        <v>24</v>
      </c>
      <c r="F603">
        <v>29</v>
      </c>
      <c r="G603">
        <v>29</v>
      </c>
      <c r="H603">
        <v>30</v>
      </c>
      <c r="J603">
        <v>29</v>
      </c>
      <c r="K603">
        <v>5.3851648069999998</v>
      </c>
      <c r="L603">
        <v>29</v>
      </c>
      <c r="M603">
        <v>30</v>
      </c>
      <c r="N603">
        <v>88</v>
      </c>
      <c r="O603">
        <v>29.333333329999999</v>
      </c>
      <c r="P603">
        <v>29</v>
      </c>
      <c r="Q603">
        <v>1</v>
      </c>
      <c r="R603">
        <v>5.42</v>
      </c>
      <c r="S603" t="s">
        <v>41</v>
      </c>
      <c r="T603" t="s">
        <v>42</v>
      </c>
      <c r="U603">
        <v>11</v>
      </c>
    </row>
    <row r="604" spans="1:21" x14ac:dyDescent="0.25">
      <c r="A604" t="s">
        <v>20</v>
      </c>
      <c r="B604" t="s">
        <v>64</v>
      </c>
      <c r="C604" t="s">
        <v>28</v>
      </c>
      <c r="D604" t="s">
        <v>23</v>
      </c>
      <c r="E604" t="s">
        <v>24</v>
      </c>
      <c r="F604">
        <v>76</v>
      </c>
      <c r="G604">
        <v>78</v>
      </c>
      <c r="H604">
        <v>80</v>
      </c>
      <c r="J604">
        <v>76</v>
      </c>
      <c r="K604">
        <v>8.7177978869999997</v>
      </c>
      <c r="L604">
        <v>76</v>
      </c>
      <c r="M604">
        <v>80</v>
      </c>
      <c r="N604">
        <v>234</v>
      </c>
      <c r="O604">
        <v>78</v>
      </c>
      <c r="P604">
        <v>77</v>
      </c>
      <c r="Q604">
        <v>1</v>
      </c>
      <c r="R604">
        <v>8.83</v>
      </c>
      <c r="S604" t="s">
        <v>30</v>
      </c>
      <c r="T604" t="s">
        <v>31</v>
      </c>
      <c r="U604">
        <v>12</v>
      </c>
    </row>
    <row r="605" spans="1:21" x14ac:dyDescent="0.25">
      <c r="A605" t="s">
        <v>34</v>
      </c>
      <c r="B605" t="s">
        <v>39</v>
      </c>
      <c r="C605" t="s">
        <v>40</v>
      </c>
      <c r="D605" t="s">
        <v>37</v>
      </c>
      <c r="E605" t="s">
        <v>24</v>
      </c>
      <c r="F605">
        <v>60</v>
      </c>
      <c r="G605">
        <v>57</v>
      </c>
      <c r="H605">
        <v>51</v>
      </c>
      <c r="J605">
        <v>60</v>
      </c>
      <c r="K605">
        <v>7.7459666919999997</v>
      </c>
      <c r="L605">
        <v>51</v>
      </c>
      <c r="M605">
        <v>60</v>
      </c>
      <c r="N605">
        <v>168</v>
      </c>
      <c r="O605">
        <v>56</v>
      </c>
      <c r="P605">
        <v>58.5</v>
      </c>
      <c r="Q605">
        <v>4</v>
      </c>
      <c r="R605">
        <v>7.48</v>
      </c>
      <c r="S605" t="s">
        <v>41</v>
      </c>
      <c r="T605" t="s">
        <v>42</v>
      </c>
      <c r="U605">
        <v>11</v>
      </c>
    </row>
    <row r="606" spans="1:21" x14ac:dyDescent="0.25">
      <c r="A606" t="s">
        <v>34</v>
      </c>
      <c r="B606" t="s">
        <v>39</v>
      </c>
      <c r="C606" t="s">
        <v>32</v>
      </c>
      <c r="D606" t="s">
        <v>37</v>
      </c>
      <c r="E606" t="s">
        <v>29</v>
      </c>
      <c r="F606">
        <v>84</v>
      </c>
      <c r="G606">
        <v>89</v>
      </c>
      <c r="H606">
        <v>90</v>
      </c>
      <c r="J606">
        <v>84</v>
      </c>
      <c r="K606">
        <v>9.1651513900000001</v>
      </c>
      <c r="L606">
        <v>84</v>
      </c>
      <c r="M606">
        <v>90</v>
      </c>
      <c r="N606">
        <v>263</v>
      </c>
      <c r="O606">
        <v>87.666666669999998</v>
      </c>
      <c r="P606">
        <v>86.5</v>
      </c>
      <c r="Q606">
        <v>1</v>
      </c>
      <c r="R606">
        <v>9.36</v>
      </c>
      <c r="S606" t="s">
        <v>33</v>
      </c>
      <c r="T606" t="s">
        <v>26</v>
      </c>
      <c r="U606">
        <v>15</v>
      </c>
    </row>
    <row r="607" spans="1:21" x14ac:dyDescent="0.25">
      <c r="A607" t="s">
        <v>34</v>
      </c>
      <c r="B607" t="s">
        <v>27</v>
      </c>
      <c r="C607" t="s">
        <v>50</v>
      </c>
      <c r="D607" t="s">
        <v>23</v>
      </c>
      <c r="E607" t="s">
        <v>24</v>
      </c>
      <c r="F607">
        <v>75</v>
      </c>
      <c r="G607">
        <v>72</v>
      </c>
      <c r="H607">
        <v>62</v>
      </c>
      <c r="J607">
        <v>75</v>
      </c>
      <c r="K607">
        <v>8.6602540379999997</v>
      </c>
      <c r="L607">
        <v>62</v>
      </c>
      <c r="M607">
        <v>75</v>
      </c>
      <c r="N607">
        <v>209</v>
      </c>
      <c r="O607">
        <v>69.666666669999998</v>
      </c>
      <c r="P607">
        <v>73.5</v>
      </c>
      <c r="Q607">
        <v>4</v>
      </c>
      <c r="R607">
        <v>8.35</v>
      </c>
      <c r="S607" t="s">
        <v>30</v>
      </c>
      <c r="T607" t="s">
        <v>42</v>
      </c>
      <c r="U607">
        <v>16</v>
      </c>
    </row>
    <row r="608" spans="1:21" x14ac:dyDescent="0.25">
      <c r="A608" t="s">
        <v>20</v>
      </c>
      <c r="B608" t="s">
        <v>27</v>
      </c>
      <c r="C608" t="s">
        <v>36</v>
      </c>
      <c r="D608" t="s">
        <v>23</v>
      </c>
      <c r="E608" t="s">
        <v>24</v>
      </c>
      <c r="F608">
        <v>85</v>
      </c>
      <c r="G608">
        <v>84</v>
      </c>
      <c r="H608">
        <v>82</v>
      </c>
      <c r="J608">
        <v>85</v>
      </c>
      <c r="K608">
        <v>9.2195444569999996</v>
      </c>
      <c r="L608">
        <v>82</v>
      </c>
      <c r="M608">
        <v>85</v>
      </c>
      <c r="N608">
        <v>251</v>
      </c>
      <c r="O608">
        <v>83.666666669999998</v>
      </c>
      <c r="P608">
        <v>84.5</v>
      </c>
      <c r="Q608">
        <v>4</v>
      </c>
      <c r="R608">
        <v>9.15</v>
      </c>
      <c r="S608" t="s">
        <v>38</v>
      </c>
      <c r="T608" t="s">
        <v>26</v>
      </c>
      <c r="U608">
        <v>18</v>
      </c>
    </row>
    <row r="609" spans="1:21" x14ac:dyDescent="0.25">
      <c r="A609" t="s">
        <v>20</v>
      </c>
      <c r="B609" t="s">
        <v>27</v>
      </c>
      <c r="C609" t="s">
        <v>32</v>
      </c>
      <c r="D609" t="s">
        <v>37</v>
      </c>
      <c r="E609" t="s">
        <v>24</v>
      </c>
      <c r="F609">
        <v>40</v>
      </c>
      <c r="G609">
        <v>58</v>
      </c>
      <c r="H609">
        <v>54</v>
      </c>
      <c r="J609">
        <v>40</v>
      </c>
      <c r="K609">
        <v>6.32455532</v>
      </c>
      <c r="L609">
        <v>40</v>
      </c>
      <c r="M609">
        <v>58</v>
      </c>
      <c r="N609">
        <v>152</v>
      </c>
      <c r="O609">
        <v>50.666666669999998</v>
      </c>
      <c r="P609">
        <v>47</v>
      </c>
      <c r="Q609">
        <v>2</v>
      </c>
      <c r="R609">
        <v>7.12</v>
      </c>
      <c r="S609" t="s">
        <v>33</v>
      </c>
      <c r="T609" t="s">
        <v>26</v>
      </c>
      <c r="U609">
        <v>15</v>
      </c>
    </row>
    <row r="610" spans="1:21" x14ac:dyDescent="0.25">
      <c r="A610" t="s">
        <v>20</v>
      </c>
      <c r="B610" t="s">
        <v>64</v>
      </c>
      <c r="C610" t="s">
        <v>28</v>
      </c>
      <c r="D610" t="s">
        <v>23</v>
      </c>
      <c r="E610" t="s">
        <v>24</v>
      </c>
      <c r="F610">
        <v>61</v>
      </c>
      <c r="G610">
        <v>64</v>
      </c>
      <c r="H610">
        <v>62</v>
      </c>
      <c r="J610">
        <v>61</v>
      </c>
      <c r="K610">
        <v>7.8102496759999998</v>
      </c>
      <c r="L610">
        <v>61</v>
      </c>
      <c r="M610">
        <v>64</v>
      </c>
      <c r="N610">
        <v>187</v>
      </c>
      <c r="O610">
        <v>62.333333330000002</v>
      </c>
      <c r="P610">
        <v>61.5</v>
      </c>
      <c r="Q610">
        <v>2</v>
      </c>
      <c r="R610">
        <v>7.9</v>
      </c>
      <c r="S610" t="s">
        <v>30</v>
      </c>
      <c r="T610" t="s">
        <v>31</v>
      </c>
      <c r="U610">
        <v>12</v>
      </c>
    </row>
    <row r="611" spans="1:21" x14ac:dyDescent="0.25">
      <c r="A611" t="s">
        <v>20</v>
      </c>
      <c r="B611" t="s">
        <v>21</v>
      </c>
      <c r="C611" t="s">
        <v>36</v>
      </c>
      <c r="D611" t="s">
        <v>23</v>
      </c>
      <c r="E611" t="s">
        <v>24</v>
      </c>
      <c r="F611">
        <v>58</v>
      </c>
      <c r="G611">
        <v>63</v>
      </c>
      <c r="H611">
        <v>65</v>
      </c>
      <c r="J611">
        <v>58</v>
      </c>
      <c r="K611">
        <v>7.6157731059999998</v>
      </c>
      <c r="L611">
        <v>58</v>
      </c>
      <c r="M611">
        <v>65</v>
      </c>
      <c r="N611">
        <v>186</v>
      </c>
      <c r="O611">
        <v>62</v>
      </c>
      <c r="P611">
        <v>60.5</v>
      </c>
      <c r="Q611">
        <v>1</v>
      </c>
      <c r="R611">
        <v>7.87</v>
      </c>
      <c r="S611" t="s">
        <v>38</v>
      </c>
      <c r="T611" t="s">
        <v>26</v>
      </c>
      <c r="U611">
        <v>18</v>
      </c>
    </row>
    <row r="612" spans="1:21" x14ac:dyDescent="0.25">
      <c r="A612" t="s">
        <v>34</v>
      </c>
      <c r="B612" t="s">
        <v>39</v>
      </c>
      <c r="C612" t="s">
        <v>28</v>
      </c>
      <c r="D612" t="s">
        <v>37</v>
      </c>
      <c r="E612" t="s">
        <v>29</v>
      </c>
      <c r="F612">
        <v>69</v>
      </c>
      <c r="G612">
        <v>60</v>
      </c>
      <c r="H612">
        <v>63</v>
      </c>
      <c r="J612">
        <v>69</v>
      </c>
      <c r="K612">
        <v>8.3066238630000004</v>
      </c>
      <c r="L612">
        <v>60</v>
      </c>
      <c r="M612">
        <v>69</v>
      </c>
      <c r="N612">
        <v>192</v>
      </c>
      <c r="O612">
        <v>64</v>
      </c>
      <c r="P612">
        <v>66</v>
      </c>
      <c r="Q612">
        <v>3</v>
      </c>
      <c r="R612">
        <v>8</v>
      </c>
      <c r="S612" t="s">
        <v>30</v>
      </c>
      <c r="T612" t="s">
        <v>31</v>
      </c>
      <c r="U612">
        <v>12</v>
      </c>
    </row>
    <row r="613" spans="1:21" x14ac:dyDescent="0.25">
      <c r="A613" t="s">
        <v>20</v>
      </c>
      <c r="B613" t="s">
        <v>27</v>
      </c>
      <c r="C613" t="s">
        <v>28</v>
      </c>
      <c r="D613" t="s">
        <v>23</v>
      </c>
      <c r="E613" t="s">
        <v>24</v>
      </c>
      <c r="F613">
        <v>58</v>
      </c>
      <c r="G613">
        <v>59</v>
      </c>
      <c r="H613">
        <v>66</v>
      </c>
      <c r="J613">
        <v>58</v>
      </c>
      <c r="K613">
        <v>7.6157731059999998</v>
      </c>
      <c r="L613">
        <v>58</v>
      </c>
      <c r="M613">
        <v>66</v>
      </c>
      <c r="N613">
        <v>183</v>
      </c>
      <c r="O613">
        <v>61</v>
      </c>
      <c r="P613">
        <v>58.5</v>
      </c>
      <c r="Q613">
        <v>1</v>
      </c>
      <c r="R613">
        <v>7.81</v>
      </c>
      <c r="S613" t="s">
        <v>30</v>
      </c>
      <c r="T613" t="s">
        <v>31</v>
      </c>
      <c r="U613">
        <v>12</v>
      </c>
    </row>
    <row r="614" spans="1:21" x14ac:dyDescent="0.25">
      <c r="A614" t="s">
        <v>34</v>
      </c>
      <c r="B614" t="s">
        <v>27</v>
      </c>
      <c r="C614" t="s">
        <v>22</v>
      </c>
      <c r="D614" t="s">
        <v>23</v>
      </c>
      <c r="E614" t="s">
        <v>29</v>
      </c>
      <c r="F614">
        <v>94</v>
      </c>
      <c r="G614">
        <v>90</v>
      </c>
      <c r="H614">
        <v>91</v>
      </c>
      <c r="J614">
        <v>94</v>
      </c>
      <c r="K614">
        <v>9.6953597150000004</v>
      </c>
      <c r="L614">
        <v>90</v>
      </c>
      <c r="M614">
        <v>94</v>
      </c>
      <c r="N614">
        <v>275</v>
      </c>
      <c r="O614">
        <v>91.666666669999998</v>
      </c>
      <c r="P614">
        <v>92.5</v>
      </c>
      <c r="Q614">
        <v>3</v>
      </c>
      <c r="R614">
        <v>9.57</v>
      </c>
      <c r="S614" t="s">
        <v>25</v>
      </c>
      <c r="T614" t="s">
        <v>26</v>
      </c>
      <c r="U614">
        <v>17</v>
      </c>
    </row>
    <row r="615" spans="1:21" x14ac:dyDescent="0.25">
      <c r="A615" t="s">
        <v>20</v>
      </c>
      <c r="B615" t="s">
        <v>27</v>
      </c>
      <c r="C615" t="s">
        <v>36</v>
      </c>
      <c r="D615" t="s">
        <v>23</v>
      </c>
      <c r="E615" t="s">
        <v>24</v>
      </c>
      <c r="F615">
        <v>65</v>
      </c>
      <c r="G615">
        <v>77</v>
      </c>
      <c r="H615">
        <v>74</v>
      </c>
      <c r="J615">
        <v>65</v>
      </c>
      <c r="K615">
        <v>8.0622577480000004</v>
      </c>
      <c r="L615">
        <v>65</v>
      </c>
      <c r="M615">
        <v>77</v>
      </c>
      <c r="N615">
        <v>216</v>
      </c>
      <c r="O615">
        <v>72</v>
      </c>
      <c r="P615">
        <v>69.5</v>
      </c>
      <c r="Q615">
        <v>2</v>
      </c>
      <c r="R615">
        <v>8.49</v>
      </c>
      <c r="S615" t="s">
        <v>38</v>
      </c>
      <c r="T615" t="s">
        <v>26</v>
      </c>
      <c r="U615">
        <v>18</v>
      </c>
    </row>
    <row r="616" spans="1:21" x14ac:dyDescent="0.25">
      <c r="A616" t="s">
        <v>20</v>
      </c>
      <c r="B616" t="s">
        <v>35</v>
      </c>
      <c r="C616" t="s">
        <v>36</v>
      </c>
      <c r="D616" t="s">
        <v>23</v>
      </c>
      <c r="E616" t="s">
        <v>24</v>
      </c>
      <c r="F616">
        <v>82</v>
      </c>
      <c r="G616">
        <v>93</v>
      </c>
      <c r="H616">
        <v>93</v>
      </c>
      <c r="J616">
        <v>82</v>
      </c>
      <c r="K616">
        <v>9.0553851380000001</v>
      </c>
      <c r="L616">
        <v>82</v>
      </c>
      <c r="M616">
        <v>93</v>
      </c>
      <c r="N616">
        <v>268</v>
      </c>
      <c r="O616">
        <v>89.333333330000002</v>
      </c>
      <c r="P616">
        <v>87.5</v>
      </c>
      <c r="Q616">
        <v>1</v>
      </c>
      <c r="R616">
        <v>9.4499999999999993</v>
      </c>
      <c r="S616" t="s">
        <v>38</v>
      </c>
      <c r="T616" t="s">
        <v>26</v>
      </c>
      <c r="U616">
        <v>18</v>
      </c>
    </row>
    <row r="617" spans="1:21" x14ac:dyDescent="0.25">
      <c r="A617" t="s">
        <v>20</v>
      </c>
      <c r="B617" t="s">
        <v>27</v>
      </c>
      <c r="C617" t="s">
        <v>40</v>
      </c>
      <c r="D617" t="s">
        <v>23</v>
      </c>
      <c r="E617" t="s">
        <v>24</v>
      </c>
      <c r="F617">
        <v>60</v>
      </c>
      <c r="G617">
        <v>68</v>
      </c>
      <c r="H617">
        <v>72</v>
      </c>
      <c r="J617">
        <v>60</v>
      </c>
      <c r="K617">
        <v>7.7459666919999997</v>
      </c>
      <c r="L617">
        <v>60</v>
      </c>
      <c r="M617">
        <v>72</v>
      </c>
      <c r="N617">
        <v>200</v>
      </c>
      <c r="O617">
        <v>66.666666669999998</v>
      </c>
      <c r="P617">
        <v>64</v>
      </c>
      <c r="Q617">
        <v>1</v>
      </c>
      <c r="R617">
        <v>8.16</v>
      </c>
      <c r="S617" t="s">
        <v>41</v>
      </c>
      <c r="T617" t="s">
        <v>42</v>
      </c>
      <c r="U617">
        <v>11</v>
      </c>
    </row>
    <row r="618" spans="1:21" x14ac:dyDescent="0.25">
      <c r="A618" t="s">
        <v>20</v>
      </c>
      <c r="B618" t="s">
        <v>64</v>
      </c>
      <c r="C618" t="s">
        <v>22</v>
      </c>
      <c r="D618" t="s">
        <v>23</v>
      </c>
      <c r="E618" t="s">
        <v>24</v>
      </c>
      <c r="F618">
        <v>37</v>
      </c>
      <c r="G618">
        <v>45</v>
      </c>
      <c r="H618">
        <v>38</v>
      </c>
      <c r="J618">
        <v>37</v>
      </c>
      <c r="K618">
        <v>6.0827625300000001</v>
      </c>
      <c r="L618">
        <v>37</v>
      </c>
      <c r="M618">
        <v>45</v>
      </c>
      <c r="N618">
        <v>120</v>
      </c>
      <c r="O618">
        <v>40</v>
      </c>
      <c r="P618">
        <v>37.5</v>
      </c>
      <c r="Q618">
        <v>2</v>
      </c>
      <c r="R618">
        <v>6.32</v>
      </c>
      <c r="S618" t="s">
        <v>25</v>
      </c>
      <c r="T618" t="s">
        <v>26</v>
      </c>
      <c r="U618">
        <v>17</v>
      </c>
    </row>
    <row r="619" spans="1:21" x14ac:dyDescent="0.25">
      <c r="A619" t="s">
        <v>34</v>
      </c>
      <c r="B619" t="s">
        <v>39</v>
      </c>
      <c r="C619" t="s">
        <v>22</v>
      </c>
      <c r="D619" t="s">
        <v>23</v>
      </c>
      <c r="E619" t="s">
        <v>24</v>
      </c>
      <c r="F619">
        <v>88</v>
      </c>
      <c r="G619">
        <v>78</v>
      </c>
      <c r="H619">
        <v>83</v>
      </c>
      <c r="J619">
        <v>88</v>
      </c>
      <c r="K619">
        <v>9.3808315199999992</v>
      </c>
      <c r="L619">
        <v>78</v>
      </c>
      <c r="M619">
        <v>88</v>
      </c>
      <c r="N619">
        <v>249</v>
      </c>
      <c r="O619">
        <v>83</v>
      </c>
      <c r="P619">
        <v>85.5</v>
      </c>
      <c r="Q619">
        <v>3</v>
      </c>
      <c r="R619">
        <v>9.11</v>
      </c>
      <c r="S619" t="s">
        <v>25</v>
      </c>
      <c r="T619" t="s">
        <v>26</v>
      </c>
      <c r="U619">
        <v>17</v>
      </c>
    </row>
    <row r="620" spans="1:21" x14ac:dyDescent="0.25">
      <c r="A620" t="s">
        <v>34</v>
      </c>
      <c r="B620" t="s">
        <v>39</v>
      </c>
      <c r="C620" t="s">
        <v>32</v>
      </c>
      <c r="D620" t="s">
        <v>23</v>
      </c>
      <c r="E620" t="s">
        <v>24</v>
      </c>
      <c r="F620">
        <v>95</v>
      </c>
      <c r="G620">
        <v>81</v>
      </c>
      <c r="H620">
        <v>84</v>
      </c>
      <c r="J620">
        <v>95</v>
      </c>
      <c r="K620">
        <v>9.7467943449999996</v>
      </c>
      <c r="L620">
        <v>81</v>
      </c>
      <c r="M620">
        <v>95</v>
      </c>
      <c r="N620">
        <v>260</v>
      </c>
      <c r="O620">
        <v>86.666666669999998</v>
      </c>
      <c r="P620">
        <v>89.5</v>
      </c>
      <c r="Q620">
        <v>3</v>
      </c>
      <c r="R620">
        <v>9.31</v>
      </c>
      <c r="S620" t="s">
        <v>33</v>
      </c>
      <c r="T620" t="s">
        <v>26</v>
      </c>
      <c r="U620">
        <v>15</v>
      </c>
    </row>
    <row r="621" spans="1:21" x14ac:dyDescent="0.25">
      <c r="A621" t="s">
        <v>34</v>
      </c>
      <c r="B621" t="s">
        <v>27</v>
      </c>
      <c r="C621" t="s">
        <v>36</v>
      </c>
      <c r="D621" t="s">
        <v>37</v>
      </c>
      <c r="E621" t="s">
        <v>29</v>
      </c>
      <c r="F621">
        <v>65</v>
      </c>
      <c r="G621">
        <v>73</v>
      </c>
      <c r="H621">
        <v>68</v>
      </c>
      <c r="J621">
        <v>65</v>
      </c>
      <c r="K621">
        <v>8.0622577480000004</v>
      </c>
      <c r="L621">
        <v>65</v>
      </c>
      <c r="M621">
        <v>73</v>
      </c>
      <c r="N621">
        <v>206</v>
      </c>
      <c r="O621">
        <v>68.666666669999998</v>
      </c>
      <c r="P621">
        <v>66.5</v>
      </c>
      <c r="Q621">
        <v>2</v>
      </c>
      <c r="R621">
        <v>8.2899999999999991</v>
      </c>
      <c r="S621" t="s">
        <v>38</v>
      </c>
      <c r="T621" t="s">
        <v>26</v>
      </c>
      <c r="U621">
        <v>18</v>
      </c>
    </row>
    <row r="622" spans="1:21" x14ac:dyDescent="0.25">
      <c r="A622" t="s">
        <v>20</v>
      </c>
      <c r="B622" t="s">
        <v>27</v>
      </c>
      <c r="C622" t="s">
        <v>40</v>
      </c>
      <c r="D622" t="s">
        <v>37</v>
      </c>
      <c r="E622" t="s">
        <v>24</v>
      </c>
      <c r="F622">
        <v>35</v>
      </c>
      <c r="G622">
        <v>61</v>
      </c>
      <c r="H622">
        <v>54</v>
      </c>
      <c r="J622">
        <v>35</v>
      </c>
      <c r="K622">
        <v>5.9160797829999998</v>
      </c>
      <c r="L622">
        <v>35</v>
      </c>
      <c r="M622">
        <v>61</v>
      </c>
      <c r="N622">
        <v>150</v>
      </c>
      <c r="O622">
        <v>50</v>
      </c>
      <c r="P622">
        <v>44.5</v>
      </c>
      <c r="Q622">
        <v>2</v>
      </c>
      <c r="R622">
        <v>7.07</v>
      </c>
      <c r="S622" t="s">
        <v>41</v>
      </c>
      <c r="T622" t="s">
        <v>42</v>
      </c>
      <c r="U622">
        <v>11</v>
      </c>
    </row>
    <row r="623" spans="1:21" x14ac:dyDescent="0.25">
      <c r="A623" t="s">
        <v>34</v>
      </c>
      <c r="B623" t="s">
        <v>21</v>
      </c>
      <c r="C623" t="s">
        <v>22</v>
      </c>
      <c r="D623" t="s">
        <v>37</v>
      </c>
      <c r="E623" t="s">
        <v>24</v>
      </c>
      <c r="F623">
        <v>62</v>
      </c>
      <c r="G623">
        <v>63</v>
      </c>
      <c r="H623">
        <v>56</v>
      </c>
      <c r="J623">
        <v>62</v>
      </c>
      <c r="K623">
        <v>7.8740078740000001</v>
      </c>
      <c r="L623">
        <v>56</v>
      </c>
      <c r="M623">
        <v>63</v>
      </c>
      <c r="N623">
        <v>181</v>
      </c>
      <c r="O623">
        <v>60.333333330000002</v>
      </c>
      <c r="P623">
        <v>62</v>
      </c>
      <c r="Q623">
        <v>4</v>
      </c>
      <c r="R623">
        <v>7.77</v>
      </c>
      <c r="S623" t="s">
        <v>25</v>
      </c>
      <c r="T623" t="s">
        <v>26</v>
      </c>
      <c r="U623">
        <v>17</v>
      </c>
    </row>
    <row r="624" spans="1:21" x14ac:dyDescent="0.25">
      <c r="A624" t="s">
        <v>34</v>
      </c>
      <c r="B624" t="s">
        <v>27</v>
      </c>
      <c r="C624" t="s">
        <v>40</v>
      </c>
      <c r="D624" t="s">
        <v>37</v>
      </c>
      <c r="E624" t="s">
        <v>29</v>
      </c>
      <c r="F624">
        <v>58</v>
      </c>
      <c r="G624">
        <v>51</v>
      </c>
      <c r="H624">
        <v>52</v>
      </c>
      <c r="J624">
        <v>58</v>
      </c>
      <c r="K624">
        <v>7.6157731059999998</v>
      </c>
      <c r="L624">
        <v>51</v>
      </c>
      <c r="M624">
        <v>58</v>
      </c>
      <c r="N624">
        <v>161</v>
      </c>
      <c r="O624">
        <v>53.666666669999998</v>
      </c>
      <c r="P624">
        <v>55</v>
      </c>
      <c r="Q624">
        <v>3</v>
      </c>
      <c r="R624">
        <v>7.33</v>
      </c>
      <c r="S624" t="s">
        <v>41</v>
      </c>
      <c r="T624" t="s">
        <v>42</v>
      </c>
      <c r="U624">
        <v>11</v>
      </c>
    </row>
    <row r="625" spans="1:21" x14ac:dyDescent="0.25">
      <c r="A625" t="s">
        <v>34</v>
      </c>
      <c r="B625" t="s">
        <v>35</v>
      </c>
      <c r="C625" t="s">
        <v>28</v>
      </c>
      <c r="D625" t="s">
        <v>23</v>
      </c>
      <c r="E625" t="s">
        <v>29</v>
      </c>
      <c r="F625">
        <v>100</v>
      </c>
      <c r="G625">
        <v>96</v>
      </c>
      <c r="H625">
        <v>86</v>
      </c>
      <c r="J625">
        <v>100</v>
      </c>
      <c r="K625">
        <v>10</v>
      </c>
      <c r="L625">
        <v>86</v>
      </c>
      <c r="M625">
        <v>100</v>
      </c>
      <c r="N625">
        <v>282</v>
      </c>
      <c r="O625">
        <v>94</v>
      </c>
      <c r="P625">
        <v>98</v>
      </c>
      <c r="Q625">
        <v>4</v>
      </c>
      <c r="R625">
        <v>9.6999999999999993</v>
      </c>
      <c r="S625" t="s">
        <v>30</v>
      </c>
      <c r="T625" t="s">
        <v>31</v>
      </c>
      <c r="U625">
        <v>12</v>
      </c>
    </row>
    <row r="626" spans="1:21" x14ac:dyDescent="0.25">
      <c r="A626" t="s">
        <v>20</v>
      </c>
      <c r="B626" t="s">
        <v>64</v>
      </c>
      <c r="C626" t="s">
        <v>22</v>
      </c>
      <c r="D626" t="s">
        <v>37</v>
      </c>
      <c r="E626" t="s">
        <v>24</v>
      </c>
      <c r="F626">
        <v>61</v>
      </c>
      <c r="G626">
        <v>58</v>
      </c>
      <c r="H626">
        <v>62</v>
      </c>
      <c r="J626">
        <v>61</v>
      </c>
      <c r="K626">
        <v>7.8102496759999998</v>
      </c>
      <c r="L626">
        <v>58</v>
      </c>
      <c r="M626">
        <v>62</v>
      </c>
      <c r="N626">
        <v>181</v>
      </c>
      <c r="O626">
        <v>60.333333330000002</v>
      </c>
      <c r="P626">
        <v>61</v>
      </c>
      <c r="Q626">
        <v>1</v>
      </c>
      <c r="R626">
        <v>7.77</v>
      </c>
      <c r="S626" t="s">
        <v>25</v>
      </c>
      <c r="T626" t="s">
        <v>26</v>
      </c>
      <c r="U626">
        <v>17</v>
      </c>
    </row>
    <row r="627" spans="1:21" x14ac:dyDescent="0.25">
      <c r="A627" t="s">
        <v>34</v>
      </c>
      <c r="B627" t="s">
        <v>39</v>
      </c>
      <c r="C627" t="s">
        <v>28</v>
      </c>
      <c r="D627" t="s">
        <v>23</v>
      </c>
      <c r="E627" t="s">
        <v>29</v>
      </c>
      <c r="F627">
        <v>100</v>
      </c>
      <c r="G627">
        <v>97</v>
      </c>
      <c r="H627">
        <v>99</v>
      </c>
      <c r="J627">
        <v>100</v>
      </c>
      <c r="K627">
        <v>10</v>
      </c>
      <c r="L627">
        <v>97</v>
      </c>
      <c r="M627">
        <v>100</v>
      </c>
      <c r="N627">
        <v>296</v>
      </c>
      <c r="O627">
        <v>98.666666669999998</v>
      </c>
      <c r="P627">
        <v>99.5</v>
      </c>
      <c r="Q627">
        <v>3</v>
      </c>
      <c r="R627">
        <v>9.93</v>
      </c>
      <c r="S627" t="s">
        <v>30</v>
      </c>
      <c r="T627" t="s">
        <v>31</v>
      </c>
      <c r="U627">
        <v>12</v>
      </c>
    </row>
    <row r="628" spans="1:21" x14ac:dyDescent="0.25">
      <c r="A628" t="s">
        <v>34</v>
      </c>
      <c r="B628" t="s">
        <v>21</v>
      </c>
      <c r="C628" t="s">
        <v>36</v>
      </c>
      <c r="D628" t="s">
        <v>37</v>
      </c>
      <c r="E628" t="s">
        <v>29</v>
      </c>
      <c r="F628">
        <v>69</v>
      </c>
      <c r="G628">
        <v>70</v>
      </c>
      <c r="H628">
        <v>63</v>
      </c>
      <c r="J628">
        <v>69</v>
      </c>
      <c r="K628">
        <v>8.3066238630000004</v>
      </c>
      <c r="L628">
        <v>63</v>
      </c>
      <c r="M628">
        <v>70</v>
      </c>
      <c r="N628">
        <v>202</v>
      </c>
      <c r="O628">
        <v>67.333333330000002</v>
      </c>
      <c r="P628">
        <v>69</v>
      </c>
      <c r="Q628">
        <v>4</v>
      </c>
      <c r="R628">
        <v>8.2100000000000009</v>
      </c>
      <c r="S628" t="s">
        <v>38</v>
      </c>
      <c r="T628" t="s">
        <v>26</v>
      </c>
      <c r="U628">
        <v>18</v>
      </c>
    </row>
    <row r="629" spans="1:21" x14ac:dyDescent="0.25">
      <c r="A629" t="s">
        <v>34</v>
      </c>
      <c r="B629" t="s">
        <v>39</v>
      </c>
      <c r="C629" t="s">
        <v>36</v>
      </c>
      <c r="D629" t="s">
        <v>23</v>
      </c>
      <c r="E629" t="s">
        <v>24</v>
      </c>
      <c r="F629">
        <v>61</v>
      </c>
      <c r="G629">
        <v>48</v>
      </c>
      <c r="H629">
        <v>46</v>
      </c>
      <c r="J629">
        <v>61</v>
      </c>
      <c r="K629">
        <v>7.8102496759999998</v>
      </c>
      <c r="L629">
        <v>46</v>
      </c>
      <c r="M629">
        <v>61</v>
      </c>
      <c r="N629">
        <v>155</v>
      </c>
      <c r="O629">
        <v>51.666666669999998</v>
      </c>
      <c r="P629">
        <v>54.5</v>
      </c>
      <c r="Q629">
        <v>4</v>
      </c>
      <c r="R629">
        <v>7.19</v>
      </c>
      <c r="S629" t="s">
        <v>38</v>
      </c>
      <c r="T629" t="s">
        <v>26</v>
      </c>
      <c r="U629">
        <v>18</v>
      </c>
    </row>
    <row r="630" spans="1:21" x14ac:dyDescent="0.25">
      <c r="A630" t="s">
        <v>34</v>
      </c>
      <c r="B630" t="s">
        <v>39</v>
      </c>
      <c r="C630" t="s">
        <v>28</v>
      </c>
      <c r="D630" t="s">
        <v>37</v>
      </c>
      <c r="E630" t="s">
        <v>24</v>
      </c>
      <c r="F630">
        <v>49</v>
      </c>
      <c r="G630">
        <v>57</v>
      </c>
      <c r="H630">
        <v>46</v>
      </c>
      <c r="J630">
        <v>49</v>
      </c>
      <c r="K630">
        <v>7</v>
      </c>
      <c r="L630">
        <v>46</v>
      </c>
      <c r="M630">
        <v>57</v>
      </c>
      <c r="N630">
        <v>152</v>
      </c>
      <c r="O630">
        <v>50.666666669999998</v>
      </c>
      <c r="P630">
        <v>49</v>
      </c>
      <c r="Q630">
        <v>4</v>
      </c>
      <c r="R630">
        <v>7.12</v>
      </c>
      <c r="S630" t="s">
        <v>30</v>
      </c>
      <c r="T630" t="s">
        <v>31</v>
      </c>
      <c r="U630">
        <v>12</v>
      </c>
    </row>
    <row r="631" spans="1:21" x14ac:dyDescent="0.25">
      <c r="A631" t="s">
        <v>20</v>
      </c>
      <c r="B631" t="s">
        <v>27</v>
      </c>
      <c r="C631" t="s">
        <v>50</v>
      </c>
      <c r="D631" t="s">
        <v>23</v>
      </c>
      <c r="E631" t="s">
        <v>29</v>
      </c>
      <c r="F631">
        <v>44</v>
      </c>
      <c r="G631">
        <v>51</v>
      </c>
      <c r="H631">
        <v>55</v>
      </c>
      <c r="J631">
        <v>44</v>
      </c>
      <c r="K631">
        <v>6.6332495810000003</v>
      </c>
      <c r="L631">
        <v>44</v>
      </c>
      <c r="M631">
        <v>55</v>
      </c>
      <c r="N631">
        <v>150</v>
      </c>
      <c r="O631">
        <v>50</v>
      </c>
      <c r="P631">
        <v>47.5</v>
      </c>
      <c r="Q631">
        <v>1</v>
      </c>
      <c r="R631">
        <v>7.07</v>
      </c>
      <c r="S631" t="s">
        <v>30</v>
      </c>
      <c r="T631" t="s">
        <v>42</v>
      </c>
      <c r="U631">
        <v>16</v>
      </c>
    </row>
    <row r="632" spans="1:21" x14ac:dyDescent="0.25">
      <c r="A632" t="s">
        <v>34</v>
      </c>
      <c r="B632" t="s">
        <v>39</v>
      </c>
      <c r="C632" t="s">
        <v>28</v>
      </c>
      <c r="D632" t="s">
        <v>23</v>
      </c>
      <c r="E632" t="s">
        <v>24</v>
      </c>
      <c r="F632">
        <v>67</v>
      </c>
      <c r="G632">
        <v>64</v>
      </c>
      <c r="H632">
        <v>70</v>
      </c>
      <c r="J632">
        <v>67</v>
      </c>
      <c r="K632">
        <v>8.1853527719999999</v>
      </c>
      <c r="L632">
        <v>64</v>
      </c>
      <c r="M632">
        <v>70</v>
      </c>
      <c r="N632">
        <v>201</v>
      </c>
      <c r="O632">
        <v>67</v>
      </c>
      <c r="P632">
        <v>67</v>
      </c>
      <c r="Q632">
        <v>1</v>
      </c>
      <c r="R632">
        <v>8.19</v>
      </c>
      <c r="S632" t="s">
        <v>30</v>
      </c>
      <c r="T632" t="s">
        <v>31</v>
      </c>
      <c r="U632">
        <v>12</v>
      </c>
    </row>
    <row r="633" spans="1:21" x14ac:dyDescent="0.25">
      <c r="A633" t="s">
        <v>34</v>
      </c>
      <c r="B633" t="s">
        <v>21</v>
      </c>
      <c r="C633" t="s">
        <v>40</v>
      </c>
      <c r="D633" t="s">
        <v>23</v>
      </c>
      <c r="E633" t="s">
        <v>24</v>
      </c>
      <c r="F633">
        <v>79</v>
      </c>
      <c r="G633">
        <v>60</v>
      </c>
      <c r="H633">
        <v>65</v>
      </c>
      <c r="J633">
        <v>79</v>
      </c>
      <c r="K633">
        <v>8.8881944169999993</v>
      </c>
      <c r="L633">
        <v>60</v>
      </c>
      <c r="M633">
        <v>79</v>
      </c>
      <c r="N633">
        <v>204</v>
      </c>
      <c r="O633">
        <v>68</v>
      </c>
      <c r="P633">
        <v>72</v>
      </c>
      <c r="Q633">
        <v>3</v>
      </c>
      <c r="R633">
        <v>8.25</v>
      </c>
      <c r="S633" t="s">
        <v>41</v>
      </c>
      <c r="T633" t="s">
        <v>42</v>
      </c>
      <c r="U633">
        <v>11</v>
      </c>
    </row>
    <row r="634" spans="1:21" x14ac:dyDescent="0.25">
      <c r="A634" t="s">
        <v>20</v>
      </c>
      <c r="B634" t="s">
        <v>21</v>
      </c>
      <c r="C634" t="s">
        <v>22</v>
      </c>
      <c r="D634" t="s">
        <v>23</v>
      </c>
      <c r="E634" t="s">
        <v>29</v>
      </c>
      <c r="F634">
        <v>66</v>
      </c>
      <c r="G634">
        <v>74</v>
      </c>
      <c r="H634">
        <v>81</v>
      </c>
      <c r="J634">
        <v>66</v>
      </c>
      <c r="K634">
        <v>8.1240384050000003</v>
      </c>
      <c r="L634">
        <v>66</v>
      </c>
      <c r="M634">
        <v>81</v>
      </c>
      <c r="N634">
        <v>221</v>
      </c>
      <c r="O634">
        <v>73.666666669999998</v>
      </c>
      <c r="P634">
        <v>70</v>
      </c>
      <c r="Q634">
        <v>1</v>
      </c>
      <c r="R634">
        <v>8.58</v>
      </c>
      <c r="S634" t="s">
        <v>25</v>
      </c>
      <c r="T634" t="s">
        <v>26</v>
      </c>
      <c r="U634">
        <v>17</v>
      </c>
    </row>
    <row r="635" spans="1:21" x14ac:dyDescent="0.25">
      <c r="A635" t="s">
        <v>20</v>
      </c>
      <c r="B635" t="s">
        <v>27</v>
      </c>
      <c r="C635" t="s">
        <v>40</v>
      </c>
      <c r="D635" t="s">
        <v>23</v>
      </c>
      <c r="E635" t="s">
        <v>24</v>
      </c>
      <c r="F635">
        <v>75</v>
      </c>
      <c r="G635">
        <v>88</v>
      </c>
      <c r="H635">
        <v>85</v>
      </c>
      <c r="J635">
        <v>75</v>
      </c>
      <c r="K635">
        <v>8.6602540379999997</v>
      </c>
      <c r="L635">
        <v>75</v>
      </c>
      <c r="M635">
        <v>88</v>
      </c>
      <c r="N635">
        <v>248</v>
      </c>
      <c r="O635">
        <v>82.666666669999998</v>
      </c>
      <c r="P635">
        <v>80</v>
      </c>
      <c r="Q635">
        <v>2</v>
      </c>
      <c r="R635">
        <v>9.09</v>
      </c>
      <c r="S635" t="s">
        <v>41</v>
      </c>
      <c r="T635" t="s">
        <v>42</v>
      </c>
      <c r="U635">
        <v>11</v>
      </c>
    </row>
    <row r="636" spans="1:21" x14ac:dyDescent="0.25">
      <c r="A636" t="s">
        <v>34</v>
      </c>
      <c r="B636" t="s">
        <v>39</v>
      </c>
      <c r="C636" t="s">
        <v>50</v>
      </c>
      <c r="D636" t="s">
        <v>23</v>
      </c>
      <c r="E636" t="s">
        <v>24</v>
      </c>
      <c r="F636">
        <v>84</v>
      </c>
      <c r="G636">
        <v>84</v>
      </c>
      <c r="H636">
        <v>80</v>
      </c>
      <c r="J636">
        <v>84</v>
      </c>
      <c r="K636">
        <v>9.1651513900000001</v>
      </c>
      <c r="L636">
        <v>80</v>
      </c>
      <c r="M636">
        <v>84</v>
      </c>
      <c r="N636">
        <v>248</v>
      </c>
      <c r="O636">
        <v>82.666666669999998</v>
      </c>
      <c r="P636">
        <v>84</v>
      </c>
      <c r="Q636">
        <v>4</v>
      </c>
      <c r="R636">
        <v>9.09</v>
      </c>
      <c r="S636" t="s">
        <v>30</v>
      </c>
      <c r="T636" t="s">
        <v>42</v>
      </c>
      <c r="U636">
        <v>16</v>
      </c>
    </row>
    <row r="637" spans="1:21" x14ac:dyDescent="0.25">
      <c r="A637" t="s">
        <v>34</v>
      </c>
      <c r="B637" t="s">
        <v>35</v>
      </c>
      <c r="C637" t="s">
        <v>40</v>
      </c>
      <c r="D637" t="s">
        <v>23</v>
      </c>
      <c r="E637" t="s">
        <v>24</v>
      </c>
      <c r="F637">
        <v>71</v>
      </c>
      <c r="G637">
        <v>74</v>
      </c>
      <c r="H637">
        <v>64</v>
      </c>
      <c r="J637">
        <v>71</v>
      </c>
      <c r="K637">
        <v>8.4261497730000006</v>
      </c>
      <c r="L637">
        <v>64</v>
      </c>
      <c r="M637">
        <v>74</v>
      </c>
      <c r="N637">
        <v>209</v>
      </c>
      <c r="O637">
        <v>69.666666669999998</v>
      </c>
      <c r="P637">
        <v>71</v>
      </c>
      <c r="Q637">
        <v>4</v>
      </c>
      <c r="R637">
        <v>8.35</v>
      </c>
      <c r="S637" t="s">
        <v>41</v>
      </c>
      <c r="T637" t="s">
        <v>42</v>
      </c>
      <c r="U637">
        <v>11</v>
      </c>
    </row>
    <row r="638" spans="1:21" x14ac:dyDescent="0.25">
      <c r="A638" t="s">
        <v>20</v>
      </c>
      <c r="B638" t="s">
        <v>21</v>
      </c>
      <c r="C638" t="s">
        <v>40</v>
      </c>
      <c r="D638" t="s">
        <v>37</v>
      </c>
      <c r="E638" t="s">
        <v>29</v>
      </c>
      <c r="F638">
        <v>67</v>
      </c>
      <c r="G638">
        <v>80</v>
      </c>
      <c r="H638">
        <v>81</v>
      </c>
      <c r="J638">
        <v>67</v>
      </c>
      <c r="K638">
        <v>8.1853527719999999</v>
      </c>
      <c r="L638">
        <v>67</v>
      </c>
      <c r="M638">
        <v>81</v>
      </c>
      <c r="N638">
        <v>228</v>
      </c>
      <c r="O638">
        <v>76</v>
      </c>
      <c r="P638">
        <v>73.5</v>
      </c>
      <c r="Q638">
        <v>1</v>
      </c>
      <c r="R638">
        <v>8.7200000000000006</v>
      </c>
      <c r="S638" t="s">
        <v>41</v>
      </c>
      <c r="T638" t="s">
        <v>42</v>
      </c>
      <c r="U638">
        <v>11</v>
      </c>
    </row>
    <row r="639" spans="1:21" x14ac:dyDescent="0.25">
      <c r="A639" t="s">
        <v>20</v>
      </c>
      <c r="B639" t="s">
        <v>39</v>
      </c>
      <c r="C639" t="s">
        <v>50</v>
      </c>
      <c r="D639" t="s">
        <v>23</v>
      </c>
      <c r="E639" t="s">
        <v>29</v>
      </c>
      <c r="F639">
        <v>80</v>
      </c>
      <c r="G639">
        <v>92</v>
      </c>
      <c r="H639">
        <v>88</v>
      </c>
      <c r="J639">
        <v>80</v>
      </c>
      <c r="K639">
        <v>8.9442719099999994</v>
      </c>
      <c r="L639">
        <v>80</v>
      </c>
      <c r="M639">
        <v>92</v>
      </c>
      <c r="N639">
        <v>260</v>
      </c>
      <c r="O639">
        <v>86.666666669999998</v>
      </c>
      <c r="P639">
        <v>84</v>
      </c>
      <c r="Q639">
        <v>2</v>
      </c>
      <c r="R639">
        <v>9.31</v>
      </c>
      <c r="S639" t="s">
        <v>30</v>
      </c>
      <c r="T639" t="s">
        <v>42</v>
      </c>
      <c r="U639">
        <v>16</v>
      </c>
    </row>
    <row r="640" spans="1:21" x14ac:dyDescent="0.25">
      <c r="A640" t="s">
        <v>34</v>
      </c>
      <c r="B640" t="s">
        <v>64</v>
      </c>
      <c r="C640" t="s">
        <v>28</v>
      </c>
      <c r="D640" t="s">
        <v>23</v>
      </c>
      <c r="E640" t="s">
        <v>24</v>
      </c>
      <c r="F640">
        <v>86</v>
      </c>
      <c r="G640">
        <v>76</v>
      </c>
      <c r="H640">
        <v>74</v>
      </c>
      <c r="J640">
        <v>86</v>
      </c>
      <c r="K640">
        <v>9.2736184949999991</v>
      </c>
      <c r="L640">
        <v>74</v>
      </c>
      <c r="M640">
        <v>86</v>
      </c>
      <c r="N640">
        <v>236</v>
      </c>
      <c r="O640">
        <v>78.666666669999998</v>
      </c>
      <c r="P640">
        <v>81</v>
      </c>
      <c r="Q640">
        <v>4</v>
      </c>
      <c r="R640">
        <v>8.8699999999999992</v>
      </c>
      <c r="S640" t="s">
        <v>30</v>
      </c>
      <c r="T640" t="s">
        <v>31</v>
      </c>
      <c r="U640">
        <v>12</v>
      </c>
    </row>
    <row r="641" spans="1:21" x14ac:dyDescent="0.25">
      <c r="A641" t="s">
        <v>20</v>
      </c>
      <c r="B641" t="s">
        <v>39</v>
      </c>
      <c r="C641" t="s">
        <v>36</v>
      </c>
      <c r="D641" t="s">
        <v>23</v>
      </c>
      <c r="E641" t="s">
        <v>24</v>
      </c>
      <c r="F641">
        <v>76</v>
      </c>
      <c r="G641">
        <v>74</v>
      </c>
      <c r="H641">
        <v>73</v>
      </c>
      <c r="J641">
        <v>76</v>
      </c>
      <c r="K641">
        <v>8.7177978869999997</v>
      </c>
      <c r="L641">
        <v>73</v>
      </c>
      <c r="M641">
        <v>76</v>
      </c>
      <c r="N641">
        <v>223</v>
      </c>
      <c r="O641">
        <v>74.333333330000002</v>
      </c>
      <c r="P641">
        <v>75</v>
      </c>
      <c r="Q641">
        <v>4</v>
      </c>
      <c r="R641">
        <v>8.6199999999999992</v>
      </c>
      <c r="S641" t="s">
        <v>38</v>
      </c>
      <c r="T641" t="s">
        <v>26</v>
      </c>
      <c r="U641">
        <v>18</v>
      </c>
    </row>
    <row r="642" spans="1:21" x14ac:dyDescent="0.25">
      <c r="A642" t="s">
        <v>34</v>
      </c>
      <c r="B642" t="s">
        <v>39</v>
      </c>
      <c r="C642" t="s">
        <v>40</v>
      </c>
      <c r="D642" t="s">
        <v>23</v>
      </c>
      <c r="E642" t="s">
        <v>24</v>
      </c>
      <c r="F642">
        <v>41</v>
      </c>
      <c r="G642">
        <v>52</v>
      </c>
      <c r="H642">
        <v>51</v>
      </c>
      <c r="J642">
        <v>41</v>
      </c>
      <c r="K642">
        <v>6.4031242370000001</v>
      </c>
      <c r="L642">
        <v>41</v>
      </c>
      <c r="M642">
        <v>52</v>
      </c>
      <c r="N642">
        <v>144</v>
      </c>
      <c r="O642">
        <v>48</v>
      </c>
      <c r="P642">
        <v>46</v>
      </c>
      <c r="Q642">
        <v>2</v>
      </c>
      <c r="R642">
        <v>6.93</v>
      </c>
      <c r="S642" t="s">
        <v>41</v>
      </c>
      <c r="T642" t="s">
        <v>42</v>
      </c>
      <c r="U642">
        <v>11</v>
      </c>
    </row>
    <row r="643" spans="1:21" x14ac:dyDescent="0.25">
      <c r="A643" t="s">
        <v>20</v>
      </c>
      <c r="B643" t="s">
        <v>39</v>
      </c>
      <c r="C643" t="s">
        <v>36</v>
      </c>
      <c r="D643" t="s">
        <v>37</v>
      </c>
      <c r="E643" t="s">
        <v>29</v>
      </c>
      <c r="F643">
        <v>74</v>
      </c>
      <c r="G643">
        <v>88</v>
      </c>
      <c r="H643">
        <v>90</v>
      </c>
      <c r="J643">
        <v>74</v>
      </c>
      <c r="K643">
        <v>8.6023252669999994</v>
      </c>
      <c r="L643">
        <v>74</v>
      </c>
      <c r="M643">
        <v>90</v>
      </c>
      <c r="N643">
        <v>252</v>
      </c>
      <c r="O643">
        <v>84</v>
      </c>
      <c r="P643">
        <v>81</v>
      </c>
      <c r="Q643">
        <v>1</v>
      </c>
      <c r="R643">
        <v>9.17</v>
      </c>
      <c r="S643" t="s">
        <v>38</v>
      </c>
      <c r="T643" t="s">
        <v>26</v>
      </c>
      <c r="U643">
        <v>18</v>
      </c>
    </row>
    <row r="644" spans="1:21" x14ac:dyDescent="0.25">
      <c r="A644" t="s">
        <v>20</v>
      </c>
      <c r="B644" t="s">
        <v>21</v>
      </c>
      <c r="C644" t="s">
        <v>50</v>
      </c>
      <c r="D644" t="s">
        <v>37</v>
      </c>
      <c r="E644" t="s">
        <v>24</v>
      </c>
      <c r="F644">
        <v>72</v>
      </c>
      <c r="G644">
        <v>81</v>
      </c>
      <c r="H644">
        <v>79</v>
      </c>
      <c r="J644">
        <v>72</v>
      </c>
      <c r="K644">
        <v>8.4852813739999995</v>
      </c>
      <c r="L644">
        <v>72</v>
      </c>
      <c r="M644">
        <v>81</v>
      </c>
      <c r="N644">
        <v>232</v>
      </c>
      <c r="O644">
        <v>77.333333330000002</v>
      </c>
      <c r="P644">
        <v>75.5</v>
      </c>
      <c r="Q644">
        <v>2</v>
      </c>
      <c r="R644">
        <v>8.7899999999999991</v>
      </c>
      <c r="S644" t="s">
        <v>30</v>
      </c>
      <c r="T644" t="s">
        <v>42</v>
      </c>
      <c r="U644">
        <v>16</v>
      </c>
    </row>
    <row r="645" spans="1:21" x14ac:dyDescent="0.25">
      <c r="A645" t="s">
        <v>20</v>
      </c>
      <c r="B645" t="s">
        <v>64</v>
      </c>
      <c r="C645" t="s">
        <v>40</v>
      </c>
      <c r="D645" t="s">
        <v>23</v>
      </c>
      <c r="E645" t="s">
        <v>29</v>
      </c>
      <c r="F645">
        <v>74</v>
      </c>
      <c r="G645">
        <v>79</v>
      </c>
      <c r="H645">
        <v>80</v>
      </c>
      <c r="J645">
        <v>74</v>
      </c>
      <c r="K645">
        <v>8.6023252669999994</v>
      </c>
      <c r="L645">
        <v>74</v>
      </c>
      <c r="M645">
        <v>80</v>
      </c>
      <c r="N645">
        <v>233</v>
      </c>
      <c r="O645">
        <v>77.666666669999998</v>
      </c>
      <c r="P645">
        <v>76.5</v>
      </c>
      <c r="Q645">
        <v>1</v>
      </c>
      <c r="R645">
        <v>8.81</v>
      </c>
      <c r="S645" t="s">
        <v>41</v>
      </c>
      <c r="T645" t="s">
        <v>42</v>
      </c>
      <c r="U645">
        <v>11</v>
      </c>
    </row>
    <row r="646" spans="1:21" x14ac:dyDescent="0.25">
      <c r="A646" t="s">
        <v>34</v>
      </c>
      <c r="B646" t="s">
        <v>21</v>
      </c>
      <c r="C646" t="s">
        <v>40</v>
      </c>
      <c r="D646" t="s">
        <v>23</v>
      </c>
      <c r="E646" t="s">
        <v>24</v>
      </c>
      <c r="F646">
        <v>70</v>
      </c>
      <c r="G646">
        <v>65</v>
      </c>
      <c r="H646">
        <v>60</v>
      </c>
      <c r="J646">
        <v>70</v>
      </c>
      <c r="K646">
        <v>8.3666002650000006</v>
      </c>
      <c r="L646">
        <v>60</v>
      </c>
      <c r="M646">
        <v>70</v>
      </c>
      <c r="N646">
        <v>195</v>
      </c>
      <c r="O646">
        <v>65</v>
      </c>
      <c r="P646">
        <v>67.5</v>
      </c>
      <c r="Q646">
        <v>4</v>
      </c>
      <c r="R646">
        <v>8.06</v>
      </c>
      <c r="S646" t="s">
        <v>41</v>
      </c>
      <c r="T646" t="s">
        <v>42</v>
      </c>
      <c r="U646">
        <v>11</v>
      </c>
    </row>
    <row r="647" spans="1:21" x14ac:dyDescent="0.25">
      <c r="A647" t="s">
        <v>20</v>
      </c>
      <c r="B647" t="s">
        <v>21</v>
      </c>
      <c r="C647" t="s">
        <v>22</v>
      </c>
      <c r="D647" t="s">
        <v>23</v>
      </c>
      <c r="E647" t="s">
        <v>29</v>
      </c>
      <c r="F647">
        <v>65</v>
      </c>
      <c r="G647">
        <v>81</v>
      </c>
      <c r="H647">
        <v>81</v>
      </c>
      <c r="J647">
        <v>65</v>
      </c>
      <c r="K647">
        <v>8.0622577480000004</v>
      </c>
      <c r="L647">
        <v>65</v>
      </c>
      <c r="M647">
        <v>81</v>
      </c>
      <c r="N647">
        <v>227</v>
      </c>
      <c r="O647">
        <v>75.666666669999998</v>
      </c>
      <c r="P647">
        <v>73</v>
      </c>
      <c r="Q647">
        <v>1</v>
      </c>
      <c r="R647">
        <v>8.6999999999999993</v>
      </c>
      <c r="S647" t="s">
        <v>25</v>
      </c>
      <c r="T647" t="s">
        <v>26</v>
      </c>
      <c r="U647">
        <v>17</v>
      </c>
    </row>
    <row r="648" spans="1:21" x14ac:dyDescent="0.25">
      <c r="A648" t="s">
        <v>20</v>
      </c>
      <c r="B648" t="s">
        <v>39</v>
      </c>
      <c r="C648" t="s">
        <v>36</v>
      </c>
      <c r="D648" t="s">
        <v>23</v>
      </c>
      <c r="E648" t="s">
        <v>24</v>
      </c>
      <c r="F648">
        <v>59</v>
      </c>
      <c r="G648">
        <v>70</v>
      </c>
      <c r="H648">
        <v>65</v>
      </c>
      <c r="J648">
        <v>59</v>
      </c>
      <c r="K648">
        <v>7.6811457479999996</v>
      </c>
      <c r="L648">
        <v>59</v>
      </c>
      <c r="M648">
        <v>70</v>
      </c>
      <c r="N648">
        <v>194</v>
      </c>
      <c r="O648">
        <v>64.666666669999998</v>
      </c>
      <c r="P648">
        <v>62</v>
      </c>
      <c r="Q648">
        <v>2</v>
      </c>
      <c r="R648">
        <v>8.0399999999999991</v>
      </c>
      <c r="S648" t="s">
        <v>38</v>
      </c>
      <c r="T648" t="s">
        <v>26</v>
      </c>
      <c r="U648">
        <v>18</v>
      </c>
    </row>
    <row r="649" spans="1:21" x14ac:dyDescent="0.25">
      <c r="A649" t="s">
        <v>20</v>
      </c>
      <c r="B649" t="s">
        <v>64</v>
      </c>
      <c r="C649" t="s">
        <v>40</v>
      </c>
      <c r="D649" t="s">
        <v>37</v>
      </c>
      <c r="E649" t="s">
        <v>24</v>
      </c>
      <c r="F649">
        <v>64</v>
      </c>
      <c r="G649">
        <v>62</v>
      </c>
      <c r="H649">
        <v>68</v>
      </c>
      <c r="J649">
        <v>64</v>
      </c>
      <c r="K649">
        <v>8</v>
      </c>
      <c r="L649">
        <v>62</v>
      </c>
      <c r="M649">
        <v>68</v>
      </c>
      <c r="N649">
        <v>194</v>
      </c>
      <c r="O649">
        <v>64.666666669999998</v>
      </c>
      <c r="P649">
        <v>64</v>
      </c>
      <c r="Q649">
        <v>1</v>
      </c>
      <c r="R649">
        <v>8.0399999999999991</v>
      </c>
      <c r="S649" t="s">
        <v>41</v>
      </c>
      <c r="T649" t="s">
        <v>42</v>
      </c>
      <c r="U649">
        <v>11</v>
      </c>
    </row>
    <row r="650" spans="1:21" x14ac:dyDescent="0.25">
      <c r="A650" t="s">
        <v>20</v>
      </c>
      <c r="B650" t="s">
        <v>21</v>
      </c>
      <c r="C650" t="s">
        <v>40</v>
      </c>
      <c r="D650" t="s">
        <v>23</v>
      </c>
      <c r="E650" t="s">
        <v>24</v>
      </c>
      <c r="F650">
        <v>50</v>
      </c>
      <c r="G650">
        <v>53</v>
      </c>
      <c r="H650">
        <v>55</v>
      </c>
      <c r="J650">
        <v>50</v>
      </c>
      <c r="K650">
        <v>7.0710678119999999</v>
      </c>
      <c r="L650">
        <v>50</v>
      </c>
      <c r="M650">
        <v>55</v>
      </c>
      <c r="N650">
        <v>158</v>
      </c>
      <c r="O650">
        <v>52.666666669999998</v>
      </c>
      <c r="P650">
        <v>51.5</v>
      </c>
      <c r="Q650">
        <v>1</v>
      </c>
      <c r="R650">
        <v>7.26</v>
      </c>
      <c r="S650" t="s">
        <v>41</v>
      </c>
      <c r="T650" t="s">
        <v>42</v>
      </c>
      <c r="U650">
        <v>11</v>
      </c>
    </row>
    <row r="651" spans="1:21" x14ac:dyDescent="0.25">
      <c r="A651" t="s">
        <v>20</v>
      </c>
      <c r="B651" t="s">
        <v>39</v>
      </c>
      <c r="C651" t="s">
        <v>28</v>
      </c>
      <c r="D651" t="s">
        <v>23</v>
      </c>
      <c r="E651" t="s">
        <v>29</v>
      </c>
      <c r="F651">
        <v>69</v>
      </c>
      <c r="G651">
        <v>79</v>
      </c>
      <c r="H651">
        <v>81</v>
      </c>
      <c r="J651">
        <v>69</v>
      </c>
      <c r="K651">
        <v>8.3066238630000004</v>
      </c>
      <c r="L651">
        <v>69</v>
      </c>
      <c r="M651">
        <v>81</v>
      </c>
      <c r="N651">
        <v>229</v>
      </c>
      <c r="O651">
        <v>76.333333330000002</v>
      </c>
      <c r="P651">
        <v>74</v>
      </c>
      <c r="Q651">
        <v>1</v>
      </c>
      <c r="R651">
        <v>8.74</v>
      </c>
      <c r="S651" t="s">
        <v>30</v>
      </c>
      <c r="T651" t="s">
        <v>31</v>
      </c>
      <c r="U651">
        <v>12</v>
      </c>
    </row>
    <row r="652" spans="1:21" x14ac:dyDescent="0.25">
      <c r="A652" t="s">
        <v>34</v>
      </c>
      <c r="B652" t="s">
        <v>27</v>
      </c>
      <c r="C652" t="s">
        <v>50</v>
      </c>
      <c r="D652" t="s">
        <v>37</v>
      </c>
      <c r="E652" t="s">
        <v>29</v>
      </c>
      <c r="F652">
        <v>51</v>
      </c>
      <c r="G652">
        <v>56</v>
      </c>
      <c r="H652">
        <v>53</v>
      </c>
      <c r="J652">
        <v>51</v>
      </c>
      <c r="K652">
        <v>7.1414284290000003</v>
      </c>
      <c r="L652">
        <v>51</v>
      </c>
      <c r="M652">
        <v>56</v>
      </c>
      <c r="N652">
        <v>160</v>
      </c>
      <c r="O652">
        <v>53.333333330000002</v>
      </c>
      <c r="P652">
        <v>52</v>
      </c>
      <c r="Q652">
        <v>2</v>
      </c>
      <c r="R652">
        <v>7.3</v>
      </c>
      <c r="S652" t="s">
        <v>30</v>
      </c>
      <c r="T652" t="s">
        <v>42</v>
      </c>
      <c r="U652">
        <v>16</v>
      </c>
    </row>
    <row r="653" spans="1:21" x14ac:dyDescent="0.25">
      <c r="A653" t="s">
        <v>20</v>
      </c>
      <c r="B653" t="s">
        <v>35</v>
      </c>
      <c r="C653" t="s">
        <v>40</v>
      </c>
      <c r="D653" t="s">
        <v>23</v>
      </c>
      <c r="E653" t="s">
        <v>29</v>
      </c>
      <c r="F653">
        <v>68</v>
      </c>
      <c r="G653">
        <v>80</v>
      </c>
      <c r="H653">
        <v>76</v>
      </c>
      <c r="J653">
        <v>68</v>
      </c>
      <c r="K653">
        <v>8.2462112510000001</v>
      </c>
      <c r="L653">
        <v>68</v>
      </c>
      <c r="M653">
        <v>80</v>
      </c>
      <c r="N653">
        <v>224</v>
      </c>
      <c r="O653">
        <v>74.666666669999998</v>
      </c>
      <c r="P653">
        <v>72</v>
      </c>
      <c r="Q653">
        <v>2</v>
      </c>
      <c r="R653">
        <v>8.64</v>
      </c>
      <c r="S653" t="s">
        <v>41</v>
      </c>
      <c r="T653" t="s">
        <v>42</v>
      </c>
      <c r="U653">
        <v>11</v>
      </c>
    </row>
    <row r="654" spans="1:21" x14ac:dyDescent="0.25">
      <c r="A654" t="s">
        <v>20</v>
      </c>
      <c r="B654" t="s">
        <v>39</v>
      </c>
      <c r="C654" t="s">
        <v>28</v>
      </c>
      <c r="D654" t="s">
        <v>23</v>
      </c>
      <c r="E654" t="s">
        <v>29</v>
      </c>
      <c r="F654">
        <v>85</v>
      </c>
      <c r="G654">
        <v>86</v>
      </c>
      <c r="H654">
        <v>98</v>
      </c>
      <c r="J654">
        <v>85</v>
      </c>
      <c r="K654">
        <v>9.2195444569999996</v>
      </c>
      <c r="L654">
        <v>85</v>
      </c>
      <c r="M654">
        <v>98</v>
      </c>
      <c r="N654">
        <v>269</v>
      </c>
      <c r="O654">
        <v>89.666666669999998</v>
      </c>
      <c r="P654">
        <v>85.5</v>
      </c>
      <c r="Q654">
        <v>1</v>
      </c>
      <c r="R654">
        <v>9.4700000000000006</v>
      </c>
      <c r="S654" t="s">
        <v>30</v>
      </c>
      <c r="T654" t="s">
        <v>31</v>
      </c>
      <c r="U654">
        <v>12</v>
      </c>
    </row>
    <row r="655" spans="1:21" x14ac:dyDescent="0.25">
      <c r="A655" t="s">
        <v>20</v>
      </c>
      <c r="B655" t="s">
        <v>35</v>
      </c>
      <c r="C655" t="s">
        <v>36</v>
      </c>
      <c r="D655" t="s">
        <v>23</v>
      </c>
      <c r="E655" t="s">
        <v>29</v>
      </c>
      <c r="F655">
        <v>65</v>
      </c>
      <c r="G655">
        <v>70</v>
      </c>
      <c r="H655">
        <v>74</v>
      </c>
      <c r="J655">
        <v>65</v>
      </c>
      <c r="K655">
        <v>8.0622577480000004</v>
      </c>
      <c r="L655">
        <v>65</v>
      </c>
      <c r="M655">
        <v>74</v>
      </c>
      <c r="N655">
        <v>209</v>
      </c>
      <c r="O655">
        <v>69.666666669999998</v>
      </c>
      <c r="P655">
        <v>67.5</v>
      </c>
      <c r="Q655">
        <v>1</v>
      </c>
      <c r="R655">
        <v>8.35</v>
      </c>
      <c r="S655" t="s">
        <v>38</v>
      </c>
      <c r="T655" t="s">
        <v>26</v>
      </c>
      <c r="U655">
        <v>18</v>
      </c>
    </row>
    <row r="656" spans="1:21" x14ac:dyDescent="0.25">
      <c r="A656" t="s">
        <v>20</v>
      </c>
      <c r="B656" t="s">
        <v>21</v>
      </c>
      <c r="C656" t="s">
        <v>50</v>
      </c>
      <c r="D656" t="s">
        <v>23</v>
      </c>
      <c r="E656" t="s">
        <v>24</v>
      </c>
      <c r="F656">
        <v>73</v>
      </c>
      <c r="G656">
        <v>79</v>
      </c>
      <c r="H656">
        <v>79</v>
      </c>
      <c r="J656">
        <v>73</v>
      </c>
      <c r="K656">
        <v>8.5440037449999995</v>
      </c>
      <c r="L656">
        <v>73</v>
      </c>
      <c r="M656">
        <v>79</v>
      </c>
      <c r="N656">
        <v>231</v>
      </c>
      <c r="O656">
        <v>77</v>
      </c>
      <c r="P656">
        <v>76</v>
      </c>
      <c r="Q656">
        <v>1</v>
      </c>
      <c r="R656">
        <v>8.77</v>
      </c>
      <c r="S656" t="s">
        <v>30</v>
      </c>
      <c r="T656" t="s">
        <v>42</v>
      </c>
      <c r="U656">
        <v>16</v>
      </c>
    </row>
    <row r="657" spans="1:21" x14ac:dyDescent="0.25">
      <c r="A657" t="s">
        <v>20</v>
      </c>
      <c r="B657" t="s">
        <v>21</v>
      </c>
      <c r="C657" t="s">
        <v>28</v>
      </c>
      <c r="D657" t="s">
        <v>23</v>
      </c>
      <c r="E657" t="s">
        <v>24</v>
      </c>
      <c r="F657">
        <v>62</v>
      </c>
      <c r="G657">
        <v>67</v>
      </c>
      <c r="H657">
        <v>67</v>
      </c>
      <c r="J657">
        <v>62</v>
      </c>
      <c r="K657">
        <v>7.8740078740000001</v>
      </c>
      <c r="L657">
        <v>62</v>
      </c>
      <c r="M657">
        <v>67</v>
      </c>
      <c r="N657">
        <v>196</v>
      </c>
      <c r="O657">
        <v>65.333333330000002</v>
      </c>
      <c r="P657">
        <v>64.5</v>
      </c>
      <c r="Q657">
        <v>1</v>
      </c>
      <c r="R657">
        <v>8.08</v>
      </c>
      <c r="S657" t="s">
        <v>30</v>
      </c>
      <c r="T657" t="s">
        <v>31</v>
      </c>
      <c r="U657">
        <v>12</v>
      </c>
    </row>
    <row r="658" spans="1:21" x14ac:dyDescent="0.25">
      <c r="A658" t="s">
        <v>34</v>
      </c>
      <c r="B658" t="s">
        <v>27</v>
      </c>
      <c r="C658" t="s">
        <v>36</v>
      </c>
      <c r="D658" t="s">
        <v>37</v>
      </c>
      <c r="E658" t="s">
        <v>24</v>
      </c>
      <c r="F658">
        <v>77</v>
      </c>
      <c r="G658">
        <v>67</v>
      </c>
      <c r="H658">
        <v>64</v>
      </c>
      <c r="J658">
        <v>77</v>
      </c>
      <c r="K658">
        <v>8.7749643870000007</v>
      </c>
      <c r="L658">
        <v>64</v>
      </c>
      <c r="M658">
        <v>77</v>
      </c>
      <c r="N658">
        <v>208</v>
      </c>
      <c r="O658">
        <v>69.333333330000002</v>
      </c>
      <c r="P658">
        <v>72</v>
      </c>
      <c r="Q658">
        <v>4</v>
      </c>
      <c r="R658">
        <v>8.33</v>
      </c>
      <c r="S658" t="s">
        <v>38</v>
      </c>
      <c r="T658" t="s">
        <v>26</v>
      </c>
      <c r="U658">
        <v>18</v>
      </c>
    </row>
    <row r="659" spans="1:21" x14ac:dyDescent="0.25">
      <c r="A659" t="s">
        <v>34</v>
      </c>
      <c r="B659" t="s">
        <v>39</v>
      </c>
      <c r="C659" t="s">
        <v>50</v>
      </c>
      <c r="D659" t="s">
        <v>23</v>
      </c>
      <c r="E659" t="s">
        <v>24</v>
      </c>
      <c r="F659">
        <v>69</v>
      </c>
      <c r="G659">
        <v>66</v>
      </c>
      <c r="H659">
        <v>61</v>
      </c>
      <c r="J659">
        <v>69</v>
      </c>
      <c r="K659">
        <v>8.3066238630000004</v>
      </c>
      <c r="L659">
        <v>61</v>
      </c>
      <c r="M659">
        <v>69</v>
      </c>
      <c r="N659">
        <v>196</v>
      </c>
      <c r="O659">
        <v>65.333333330000002</v>
      </c>
      <c r="P659">
        <v>67.5</v>
      </c>
      <c r="Q659">
        <v>4</v>
      </c>
      <c r="R659">
        <v>8.08</v>
      </c>
      <c r="S659" t="s">
        <v>30</v>
      </c>
      <c r="T659" t="s">
        <v>42</v>
      </c>
      <c r="U659">
        <v>16</v>
      </c>
    </row>
    <row r="660" spans="1:21" x14ac:dyDescent="0.25">
      <c r="A660" t="s">
        <v>20</v>
      </c>
      <c r="B660" t="s">
        <v>39</v>
      </c>
      <c r="C660" t="s">
        <v>36</v>
      </c>
      <c r="D660" t="s">
        <v>37</v>
      </c>
      <c r="E660" t="s">
        <v>24</v>
      </c>
      <c r="F660">
        <v>43</v>
      </c>
      <c r="G660">
        <v>60</v>
      </c>
      <c r="H660">
        <v>58</v>
      </c>
      <c r="J660">
        <v>43</v>
      </c>
      <c r="K660">
        <v>6.5574385240000002</v>
      </c>
      <c r="L660">
        <v>43</v>
      </c>
      <c r="M660">
        <v>60</v>
      </c>
      <c r="N660">
        <v>161</v>
      </c>
      <c r="O660">
        <v>53.666666669999998</v>
      </c>
      <c r="P660">
        <v>50.5</v>
      </c>
      <c r="Q660">
        <v>2</v>
      </c>
      <c r="R660">
        <v>7.33</v>
      </c>
      <c r="S660" t="s">
        <v>38</v>
      </c>
      <c r="T660" t="s">
        <v>26</v>
      </c>
      <c r="U660">
        <v>18</v>
      </c>
    </row>
    <row r="661" spans="1:21" x14ac:dyDescent="0.25">
      <c r="A661" t="s">
        <v>34</v>
      </c>
      <c r="B661" t="s">
        <v>39</v>
      </c>
      <c r="C661" t="s">
        <v>36</v>
      </c>
      <c r="D661" t="s">
        <v>23</v>
      </c>
      <c r="E661" t="s">
        <v>24</v>
      </c>
      <c r="F661">
        <v>90</v>
      </c>
      <c r="G661">
        <v>87</v>
      </c>
      <c r="H661">
        <v>85</v>
      </c>
      <c r="J661">
        <v>90</v>
      </c>
      <c r="K661">
        <v>9.4868329809999992</v>
      </c>
      <c r="L661">
        <v>85</v>
      </c>
      <c r="M661">
        <v>90</v>
      </c>
      <c r="N661">
        <v>262</v>
      </c>
      <c r="O661">
        <v>87.333333330000002</v>
      </c>
      <c r="P661">
        <v>88.5</v>
      </c>
      <c r="Q661">
        <v>4</v>
      </c>
      <c r="R661">
        <v>9.35</v>
      </c>
      <c r="S661" t="s">
        <v>38</v>
      </c>
      <c r="T661" t="s">
        <v>26</v>
      </c>
      <c r="U661">
        <v>18</v>
      </c>
    </row>
    <row r="662" spans="1:21" x14ac:dyDescent="0.25">
      <c r="A662" t="s">
        <v>34</v>
      </c>
      <c r="B662" t="s">
        <v>27</v>
      </c>
      <c r="C662" t="s">
        <v>28</v>
      </c>
      <c r="D662" t="s">
        <v>37</v>
      </c>
      <c r="E662" t="s">
        <v>24</v>
      </c>
      <c r="F662">
        <v>74</v>
      </c>
      <c r="G662">
        <v>77</v>
      </c>
      <c r="H662">
        <v>73</v>
      </c>
      <c r="J662">
        <v>74</v>
      </c>
      <c r="K662">
        <v>8.6023252669999994</v>
      </c>
      <c r="L662">
        <v>73</v>
      </c>
      <c r="M662">
        <v>77</v>
      </c>
      <c r="N662">
        <v>224</v>
      </c>
      <c r="O662">
        <v>74.666666669999998</v>
      </c>
      <c r="P662">
        <v>74</v>
      </c>
      <c r="Q662">
        <v>4</v>
      </c>
      <c r="R662">
        <v>8.64</v>
      </c>
      <c r="S662" t="s">
        <v>30</v>
      </c>
      <c r="T662" t="s">
        <v>31</v>
      </c>
      <c r="U662">
        <v>12</v>
      </c>
    </row>
    <row r="663" spans="1:21" x14ac:dyDescent="0.25">
      <c r="A663" t="s">
        <v>34</v>
      </c>
      <c r="B663" t="s">
        <v>27</v>
      </c>
      <c r="C663" t="s">
        <v>50</v>
      </c>
      <c r="D663" t="s">
        <v>23</v>
      </c>
      <c r="E663" t="s">
        <v>24</v>
      </c>
      <c r="F663">
        <v>73</v>
      </c>
      <c r="G663">
        <v>66</v>
      </c>
      <c r="H663">
        <v>63</v>
      </c>
      <c r="J663">
        <v>73</v>
      </c>
      <c r="K663">
        <v>8.5440037449999995</v>
      </c>
      <c r="L663">
        <v>63</v>
      </c>
      <c r="M663">
        <v>73</v>
      </c>
      <c r="N663">
        <v>202</v>
      </c>
      <c r="O663">
        <v>67.333333330000002</v>
      </c>
      <c r="P663">
        <v>69.5</v>
      </c>
      <c r="Q663">
        <v>4</v>
      </c>
      <c r="R663">
        <v>8.2100000000000009</v>
      </c>
      <c r="S663" t="s">
        <v>30</v>
      </c>
      <c r="T663" t="s">
        <v>42</v>
      </c>
      <c r="U663">
        <v>16</v>
      </c>
    </row>
    <row r="664" spans="1:21" x14ac:dyDescent="0.25">
      <c r="A664" t="s">
        <v>20</v>
      </c>
      <c r="B664" t="s">
        <v>39</v>
      </c>
      <c r="C664" t="s">
        <v>28</v>
      </c>
      <c r="D664" t="s">
        <v>37</v>
      </c>
      <c r="E664" t="s">
        <v>24</v>
      </c>
      <c r="F664">
        <v>55</v>
      </c>
      <c r="G664">
        <v>71</v>
      </c>
      <c r="H664">
        <v>69</v>
      </c>
      <c r="J664">
        <v>55</v>
      </c>
      <c r="K664">
        <v>7.416198487</v>
      </c>
      <c r="L664">
        <v>55</v>
      </c>
      <c r="M664">
        <v>71</v>
      </c>
      <c r="N664">
        <v>195</v>
      </c>
      <c r="O664">
        <v>65</v>
      </c>
      <c r="P664">
        <v>62</v>
      </c>
      <c r="Q664">
        <v>2</v>
      </c>
      <c r="R664">
        <v>8.06</v>
      </c>
      <c r="S664" t="s">
        <v>30</v>
      </c>
      <c r="T664" t="s">
        <v>31</v>
      </c>
      <c r="U664">
        <v>12</v>
      </c>
    </row>
    <row r="665" spans="1:21" x14ac:dyDescent="0.25">
      <c r="A665" t="s">
        <v>20</v>
      </c>
      <c r="B665" t="s">
        <v>27</v>
      </c>
      <c r="C665" t="s">
        <v>40</v>
      </c>
      <c r="D665" t="s">
        <v>23</v>
      </c>
      <c r="E665" t="s">
        <v>24</v>
      </c>
      <c r="F665">
        <v>65</v>
      </c>
      <c r="G665">
        <v>69</v>
      </c>
      <c r="H665">
        <v>67</v>
      </c>
      <c r="J665">
        <v>65</v>
      </c>
      <c r="K665">
        <v>8.0622577480000004</v>
      </c>
      <c r="L665">
        <v>65</v>
      </c>
      <c r="M665">
        <v>69</v>
      </c>
      <c r="N665">
        <v>201</v>
      </c>
      <c r="O665">
        <v>67</v>
      </c>
      <c r="P665">
        <v>66</v>
      </c>
      <c r="Q665">
        <v>2</v>
      </c>
      <c r="R665">
        <v>8.19</v>
      </c>
      <c r="S665" t="s">
        <v>41</v>
      </c>
      <c r="T665" t="s">
        <v>42</v>
      </c>
      <c r="U665">
        <v>11</v>
      </c>
    </row>
    <row r="666" spans="1:21" x14ac:dyDescent="0.25">
      <c r="A666" t="s">
        <v>34</v>
      </c>
      <c r="B666" t="s">
        <v>39</v>
      </c>
      <c r="C666" t="s">
        <v>36</v>
      </c>
      <c r="D666" t="s">
        <v>23</v>
      </c>
      <c r="E666" t="s">
        <v>24</v>
      </c>
      <c r="F666">
        <v>80</v>
      </c>
      <c r="G666">
        <v>63</v>
      </c>
      <c r="H666">
        <v>63</v>
      </c>
      <c r="J666">
        <v>80</v>
      </c>
      <c r="K666">
        <v>8.9442719099999994</v>
      </c>
      <c r="L666">
        <v>63</v>
      </c>
      <c r="M666">
        <v>80</v>
      </c>
      <c r="N666">
        <v>206</v>
      </c>
      <c r="O666">
        <v>68.666666669999998</v>
      </c>
      <c r="P666">
        <v>71.5</v>
      </c>
      <c r="Q666">
        <v>3</v>
      </c>
      <c r="R666">
        <v>8.2899999999999991</v>
      </c>
      <c r="S666" t="s">
        <v>38</v>
      </c>
      <c r="T666" t="s">
        <v>26</v>
      </c>
      <c r="U666">
        <v>18</v>
      </c>
    </row>
    <row r="667" spans="1:21" x14ac:dyDescent="0.25">
      <c r="A667" t="s">
        <v>20</v>
      </c>
      <c r="B667" t="s">
        <v>27</v>
      </c>
      <c r="C667" t="s">
        <v>50</v>
      </c>
      <c r="D667" t="s">
        <v>37</v>
      </c>
      <c r="E667" t="s">
        <v>29</v>
      </c>
      <c r="F667">
        <v>50</v>
      </c>
      <c r="G667">
        <v>60</v>
      </c>
      <c r="H667">
        <v>60</v>
      </c>
      <c r="J667">
        <v>50</v>
      </c>
      <c r="K667">
        <v>7.0710678119999999</v>
      </c>
      <c r="L667">
        <v>50</v>
      </c>
      <c r="M667">
        <v>60</v>
      </c>
      <c r="N667">
        <v>170</v>
      </c>
      <c r="O667">
        <v>56.666666669999998</v>
      </c>
      <c r="P667">
        <v>55</v>
      </c>
      <c r="Q667">
        <v>1</v>
      </c>
      <c r="R667">
        <v>7.53</v>
      </c>
      <c r="S667" t="s">
        <v>30</v>
      </c>
      <c r="T667" t="s">
        <v>42</v>
      </c>
      <c r="U667">
        <v>16</v>
      </c>
    </row>
    <row r="668" spans="1:21" x14ac:dyDescent="0.25">
      <c r="A668" t="s">
        <v>20</v>
      </c>
      <c r="B668" t="s">
        <v>27</v>
      </c>
      <c r="C668" t="s">
        <v>28</v>
      </c>
      <c r="D668" t="s">
        <v>37</v>
      </c>
      <c r="E668" t="s">
        <v>29</v>
      </c>
      <c r="F668">
        <v>63</v>
      </c>
      <c r="G668">
        <v>73</v>
      </c>
      <c r="H668">
        <v>71</v>
      </c>
      <c r="J668">
        <v>63</v>
      </c>
      <c r="K668">
        <v>7.937253933</v>
      </c>
      <c r="L668">
        <v>63</v>
      </c>
      <c r="M668">
        <v>73</v>
      </c>
      <c r="N668">
        <v>207</v>
      </c>
      <c r="O668">
        <v>69</v>
      </c>
      <c r="P668">
        <v>67</v>
      </c>
      <c r="Q668">
        <v>2</v>
      </c>
      <c r="R668">
        <v>8.31</v>
      </c>
      <c r="S668" t="s">
        <v>30</v>
      </c>
      <c r="T668" t="s">
        <v>31</v>
      </c>
      <c r="U668">
        <v>12</v>
      </c>
    </row>
    <row r="669" spans="1:21" x14ac:dyDescent="0.25">
      <c r="A669" t="s">
        <v>20</v>
      </c>
      <c r="B669" t="s">
        <v>21</v>
      </c>
      <c r="C669" t="s">
        <v>22</v>
      </c>
      <c r="D669" t="s">
        <v>37</v>
      </c>
      <c r="E669" t="s">
        <v>24</v>
      </c>
      <c r="F669">
        <v>77</v>
      </c>
      <c r="G669">
        <v>85</v>
      </c>
      <c r="H669">
        <v>87</v>
      </c>
      <c r="J669">
        <v>77</v>
      </c>
      <c r="K669">
        <v>8.7749643870000007</v>
      </c>
      <c r="L669">
        <v>77</v>
      </c>
      <c r="M669">
        <v>87</v>
      </c>
      <c r="N669">
        <v>249</v>
      </c>
      <c r="O669">
        <v>83</v>
      </c>
      <c r="P669">
        <v>81</v>
      </c>
      <c r="Q669">
        <v>1</v>
      </c>
      <c r="R669">
        <v>9.11</v>
      </c>
      <c r="S669" t="s">
        <v>25</v>
      </c>
      <c r="T669" t="s">
        <v>26</v>
      </c>
      <c r="U669">
        <v>17</v>
      </c>
    </row>
    <row r="670" spans="1:21" x14ac:dyDescent="0.25">
      <c r="A670" t="s">
        <v>34</v>
      </c>
      <c r="B670" t="s">
        <v>27</v>
      </c>
      <c r="C670" t="s">
        <v>28</v>
      </c>
      <c r="D670" t="s">
        <v>23</v>
      </c>
      <c r="E670" t="s">
        <v>24</v>
      </c>
      <c r="F670">
        <v>73</v>
      </c>
      <c r="G670">
        <v>74</v>
      </c>
      <c r="H670">
        <v>61</v>
      </c>
      <c r="J670">
        <v>73</v>
      </c>
      <c r="K670">
        <v>8.5440037449999995</v>
      </c>
      <c r="L670">
        <v>61</v>
      </c>
      <c r="M670">
        <v>74</v>
      </c>
      <c r="N670">
        <v>208</v>
      </c>
      <c r="O670">
        <v>69.333333330000002</v>
      </c>
      <c r="P670">
        <v>73</v>
      </c>
      <c r="Q670">
        <v>4</v>
      </c>
      <c r="R670">
        <v>8.33</v>
      </c>
      <c r="S670" t="s">
        <v>30</v>
      </c>
      <c r="T670" t="s">
        <v>31</v>
      </c>
      <c r="U670">
        <v>12</v>
      </c>
    </row>
    <row r="671" spans="1:21" x14ac:dyDescent="0.25">
      <c r="A671" t="s">
        <v>34</v>
      </c>
      <c r="B671" t="s">
        <v>39</v>
      </c>
      <c r="C671" t="s">
        <v>36</v>
      </c>
      <c r="D671" t="s">
        <v>23</v>
      </c>
      <c r="E671" t="s">
        <v>29</v>
      </c>
      <c r="F671">
        <v>81</v>
      </c>
      <c r="G671">
        <v>72</v>
      </c>
      <c r="H671">
        <v>77</v>
      </c>
      <c r="J671">
        <v>81</v>
      </c>
      <c r="K671">
        <v>9</v>
      </c>
      <c r="L671">
        <v>72</v>
      </c>
      <c r="M671">
        <v>81</v>
      </c>
      <c r="N671">
        <v>230</v>
      </c>
      <c r="O671">
        <v>76.666666669999998</v>
      </c>
      <c r="P671">
        <v>79</v>
      </c>
      <c r="Q671">
        <v>3</v>
      </c>
      <c r="R671">
        <v>8.76</v>
      </c>
      <c r="S671" t="s">
        <v>38</v>
      </c>
      <c r="T671" t="s">
        <v>26</v>
      </c>
      <c r="U671">
        <v>18</v>
      </c>
    </row>
    <row r="672" spans="1:21" x14ac:dyDescent="0.25">
      <c r="A672" t="s">
        <v>20</v>
      </c>
      <c r="B672" t="s">
        <v>27</v>
      </c>
      <c r="C672" t="s">
        <v>40</v>
      </c>
      <c r="D672" t="s">
        <v>37</v>
      </c>
      <c r="E672" t="s">
        <v>24</v>
      </c>
      <c r="F672">
        <v>66</v>
      </c>
      <c r="G672">
        <v>76</v>
      </c>
      <c r="H672">
        <v>68</v>
      </c>
      <c r="J672">
        <v>66</v>
      </c>
      <c r="K672">
        <v>8.1240384050000003</v>
      </c>
      <c r="L672">
        <v>66</v>
      </c>
      <c r="M672">
        <v>76</v>
      </c>
      <c r="N672">
        <v>210</v>
      </c>
      <c r="O672">
        <v>70</v>
      </c>
      <c r="P672">
        <v>67</v>
      </c>
      <c r="Q672">
        <v>2</v>
      </c>
      <c r="R672">
        <v>8.3699999999999992</v>
      </c>
      <c r="S672" t="s">
        <v>41</v>
      </c>
      <c r="T672" t="s">
        <v>42</v>
      </c>
      <c r="U672">
        <v>11</v>
      </c>
    </row>
    <row r="673" spans="1:21" x14ac:dyDescent="0.25">
      <c r="A673" t="s">
        <v>34</v>
      </c>
      <c r="B673" t="s">
        <v>39</v>
      </c>
      <c r="C673" t="s">
        <v>36</v>
      </c>
      <c r="D673" t="s">
        <v>37</v>
      </c>
      <c r="E673" t="s">
        <v>24</v>
      </c>
      <c r="F673">
        <v>52</v>
      </c>
      <c r="G673">
        <v>57</v>
      </c>
      <c r="H673">
        <v>50</v>
      </c>
      <c r="J673">
        <v>52</v>
      </c>
      <c r="K673">
        <v>7.2111025509999997</v>
      </c>
      <c r="L673">
        <v>50</v>
      </c>
      <c r="M673">
        <v>57</v>
      </c>
      <c r="N673">
        <v>159</v>
      </c>
      <c r="O673">
        <v>53</v>
      </c>
      <c r="P673">
        <v>52</v>
      </c>
      <c r="Q673">
        <v>4</v>
      </c>
      <c r="R673">
        <v>7.28</v>
      </c>
      <c r="S673" t="s">
        <v>38</v>
      </c>
      <c r="T673" t="s">
        <v>26</v>
      </c>
      <c r="U673">
        <v>18</v>
      </c>
    </row>
    <row r="674" spans="1:21" x14ac:dyDescent="0.25">
      <c r="A674" t="s">
        <v>20</v>
      </c>
      <c r="B674" t="s">
        <v>27</v>
      </c>
      <c r="C674" t="s">
        <v>28</v>
      </c>
      <c r="D674" t="s">
        <v>23</v>
      </c>
      <c r="E674" t="s">
        <v>24</v>
      </c>
      <c r="F674">
        <v>69</v>
      </c>
      <c r="G674">
        <v>78</v>
      </c>
      <c r="H674">
        <v>76</v>
      </c>
      <c r="J674">
        <v>69</v>
      </c>
      <c r="K674">
        <v>8.3066238630000004</v>
      </c>
      <c r="L674">
        <v>69</v>
      </c>
      <c r="M674">
        <v>78</v>
      </c>
      <c r="N674">
        <v>223</v>
      </c>
      <c r="O674">
        <v>74.333333330000002</v>
      </c>
      <c r="P674">
        <v>72.5</v>
      </c>
      <c r="Q674">
        <v>2</v>
      </c>
      <c r="R674">
        <v>8.6199999999999992</v>
      </c>
      <c r="S674" t="s">
        <v>30</v>
      </c>
      <c r="T674" t="s">
        <v>31</v>
      </c>
      <c r="U674">
        <v>12</v>
      </c>
    </row>
    <row r="675" spans="1:21" x14ac:dyDescent="0.25">
      <c r="A675" t="s">
        <v>20</v>
      </c>
      <c r="B675" t="s">
        <v>27</v>
      </c>
      <c r="C675" t="s">
        <v>36</v>
      </c>
      <c r="D675" t="s">
        <v>23</v>
      </c>
      <c r="E675" t="s">
        <v>29</v>
      </c>
      <c r="F675">
        <v>65</v>
      </c>
      <c r="G675">
        <v>84</v>
      </c>
      <c r="H675">
        <v>84</v>
      </c>
      <c r="J675">
        <v>65</v>
      </c>
      <c r="K675">
        <v>8.0622577480000004</v>
      </c>
      <c r="L675">
        <v>65</v>
      </c>
      <c r="M675">
        <v>84</v>
      </c>
      <c r="N675">
        <v>233</v>
      </c>
      <c r="O675">
        <v>77.666666669999998</v>
      </c>
      <c r="P675">
        <v>74.5</v>
      </c>
      <c r="Q675">
        <v>1</v>
      </c>
      <c r="R675">
        <v>8.81</v>
      </c>
      <c r="S675" t="s">
        <v>38</v>
      </c>
      <c r="T675" t="s">
        <v>26</v>
      </c>
      <c r="U675">
        <v>18</v>
      </c>
    </row>
    <row r="676" spans="1:21" x14ac:dyDescent="0.25">
      <c r="A676" t="s">
        <v>20</v>
      </c>
      <c r="B676" t="s">
        <v>39</v>
      </c>
      <c r="C676" t="s">
        <v>40</v>
      </c>
      <c r="D676" t="s">
        <v>23</v>
      </c>
      <c r="E676" t="s">
        <v>29</v>
      </c>
      <c r="F676">
        <v>69</v>
      </c>
      <c r="G676">
        <v>77</v>
      </c>
      <c r="H676">
        <v>78</v>
      </c>
      <c r="J676">
        <v>69</v>
      </c>
      <c r="K676">
        <v>8.3066238630000004</v>
      </c>
      <c r="L676">
        <v>69</v>
      </c>
      <c r="M676">
        <v>78</v>
      </c>
      <c r="N676">
        <v>224</v>
      </c>
      <c r="O676">
        <v>74.666666669999998</v>
      </c>
      <c r="P676">
        <v>73</v>
      </c>
      <c r="Q676">
        <v>1</v>
      </c>
      <c r="R676">
        <v>8.64</v>
      </c>
      <c r="S676" t="s">
        <v>41</v>
      </c>
      <c r="T676" t="s">
        <v>42</v>
      </c>
      <c r="U676">
        <v>11</v>
      </c>
    </row>
    <row r="677" spans="1:21" x14ac:dyDescent="0.25">
      <c r="A677" t="s">
        <v>20</v>
      </c>
      <c r="B677" t="s">
        <v>21</v>
      </c>
      <c r="C677" t="s">
        <v>28</v>
      </c>
      <c r="D677" t="s">
        <v>23</v>
      </c>
      <c r="E677" t="s">
        <v>29</v>
      </c>
      <c r="F677">
        <v>50</v>
      </c>
      <c r="G677">
        <v>64</v>
      </c>
      <c r="H677">
        <v>66</v>
      </c>
      <c r="J677">
        <v>50</v>
      </c>
      <c r="K677">
        <v>7.0710678119999999</v>
      </c>
      <c r="L677">
        <v>50</v>
      </c>
      <c r="M677">
        <v>66</v>
      </c>
      <c r="N677">
        <v>180</v>
      </c>
      <c r="O677">
        <v>60</v>
      </c>
      <c r="P677">
        <v>57</v>
      </c>
      <c r="Q677">
        <v>1</v>
      </c>
      <c r="R677">
        <v>7.75</v>
      </c>
      <c r="S677" t="s">
        <v>30</v>
      </c>
      <c r="T677" t="s">
        <v>31</v>
      </c>
      <c r="U677">
        <v>12</v>
      </c>
    </row>
    <row r="678" spans="1:21" x14ac:dyDescent="0.25">
      <c r="A678" t="s">
        <v>20</v>
      </c>
      <c r="B678" t="s">
        <v>64</v>
      </c>
      <c r="C678" t="s">
        <v>28</v>
      </c>
      <c r="D678" t="s">
        <v>23</v>
      </c>
      <c r="E678" t="s">
        <v>29</v>
      </c>
      <c r="F678">
        <v>73</v>
      </c>
      <c r="G678">
        <v>78</v>
      </c>
      <c r="H678">
        <v>76</v>
      </c>
      <c r="J678">
        <v>73</v>
      </c>
      <c r="K678">
        <v>8.5440037449999995</v>
      </c>
      <c r="L678">
        <v>73</v>
      </c>
      <c r="M678">
        <v>78</v>
      </c>
      <c r="N678">
        <v>227</v>
      </c>
      <c r="O678">
        <v>75.666666669999998</v>
      </c>
      <c r="P678">
        <v>74.5</v>
      </c>
      <c r="Q678">
        <v>2</v>
      </c>
      <c r="R678">
        <v>8.6999999999999993</v>
      </c>
      <c r="S678" t="s">
        <v>30</v>
      </c>
      <c r="T678" t="s">
        <v>31</v>
      </c>
      <c r="U678">
        <v>12</v>
      </c>
    </row>
    <row r="679" spans="1:21" x14ac:dyDescent="0.25">
      <c r="A679" t="s">
        <v>20</v>
      </c>
      <c r="B679" t="s">
        <v>27</v>
      </c>
      <c r="C679" t="s">
        <v>50</v>
      </c>
      <c r="D679" t="s">
        <v>23</v>
      </c>
      <c r="E679" t="s">
        <v>29</v>
      </c>
      <c r="F679">
        <v>70</v>
      </c>
      <c r="G679">
        <v>82</v>
      </c>
      <c r="H679">
        <v>76</v>
      </c>
      <c r="J679">
        <v>70</v>
      </c>
      <c r="K679">
        <v>8.3666002650000006</v>
      </c>
      <c r="L679">
        <v>70</v>
      </c>
      <c r="M679">
        <v>82</v>
      </c>
      <c r="N679">
        <v>228</v>
      </c>
      <c r="O679">
        <v>76</v>
      </c>
      <c r="P679">
        <v>73</v>
      </c>
      <c r="Q679">
        <v>2</v>
      </c>
      <c r="R679">
        <v>8.7200000000000006</v>
      </c>
      <c r="S679" t="s">
        <v>30</v>
      </c>
      <c r="T679" t="s">
        <v>42</v>
      </c>
      <c r="U679">
        <v>16</v>
      </c>
    </row>
    <row r="680" spans="1:21" x14ac:dyDescent="0.25">
      <c r="A680" t="s">
        <v>34</v>
      </c>
      <c r="B680" t="s">
        <v>39</v>
      </c>
      <c r="C680" t="s">
        <v>36</v>
      </c>
      <c r="D680" t="s">
        <v>37</v>
      </c>
      <c r="E680" t="s">
        <v>24</v>
      </c>
      <c r="F680">
        <v>81</v>
      </c>
      <c r="G680">
        <v>75</v>
      </c>
      <c r="H680">
        <v>78</v>
      </c>
      <c r="J680">
        <v>81</v>
      </c>
      <c r="K680">
        <v>9</v>
      </c>
      <c r="L680">
        <v>75</v>
      </c>
      <c r="M680">
        <v>81</v>
      </c>
      <c r="N680">
        <v>234</v>
      </c>
      <c r="O680">
        <v>78</v>
      </c>
      <c r="P680">
        <v>79.5</v>
      </c>
      <c r="Q680">
        <v>3</v>
      </c>
      <c r="R680">
        <v>8.83</v>
      </c>
      <c r="S680" t="s">
        <v>38</v>
      </c>
      <c r="T680" t="s">
        <v>26</v>
      </c>
      <c r="U680">
        <v>18</v>
      </c>
    </row>
    <row r="681" spans="1:21" x14ac:dyDescent="0.25">
      <c r="A681" t="s">
        <v>34</v>
      </c>
      <c r="B681" t="s">
        <v>39</v>
      </c>
      <c r="C681" t="s">
        <v>28</v>
      </c>
      <c r="D681" t="s">
        <v>37</v>
      </c>
      <c r="E681" t="s">
        <v>24</v>
      </c>
      <c r="F681">
        <v>63</v>
      </c>
      <c r="G681">
        <v>61</v>
      </c>
      <c r="H681">
        <v>60</v>
      </c>
      <c r="J681">
        <v>63</v>
      </c>
      <c r="K681">
        <v>7.937253933</v>
      </c>
      <c r="L681">
        <v>60</v>
      </c>
      <c r="M681">
        <v>63</v>
      </c>
      <c r="N681">
        <v>184</v>
      </c>
      <c r="O681">
        <v>61.333333330000002</v>
      </c>
      <c r="P681">
        <v>62</v>
      </c>
      <c r="Q681">
        <v>4</v>
      </c>
      <c r="R681">
        <v>7.83</v>
      </c>
      <c r="S681" t="s">
        <v>30</v>
      </c>
      <c r="T681" t="s">
        <v>31</v>
      </c>
      <c r="U681">
        <v>12</v>
      </c>
    </row>
    <row r="682" spans="1:21" x14ac:dyDescent="0.25">
      <c r="A682" t="s">
        <v>20</v>
      </c>
      <c r="B682" t="s">
        <v>39</v>
      </c>
      <c r="C682" t="s">
        <v>40</v>
      </c>
      <c r="D682" t="s">
        <v>23</v>
      </c>
      <c r="E682" t="s">
        <v>24</v>
      </c>
      <c r="F682">
        <v>67</v>
      </c>
      <c r="G682">
        <v>72</v>
      </c>
      <c r="H682">
        <v>74</v>
      </c>
      <c r="J682">
        <v>67</v>
      </c>
      <c r="K682">
        <v>8.1853527719999999</v>
      </c>
      <c r="L682">
        <v>67</v>
      </c>
      <c r="M682">
        <v>74</v>
      </c>
      <c r="N682">
        <v>213</v>
      </c>
      <c r="O682">
        <v>71</v>
      </c>
      <c r="P682">
        <v>69.5</v>
      </c>
      <c r="Q682">
        <v>1</v>
      </c>
      <c r="R682">
        <v>8.43</v>
      </c>
      <c r="S682" t="s">
        <v>41</v>
      </c>
      <c r="T682" t="s">
        <v>42</v>
      </c>
      <c r="U682">
        <v>11</v>
      </c>
    </row>
    <row r="683" spans="1:21" x14ac:dyDescent="0.25">
      <c r="A683" t="s">
        <v>34</v>
      </c>
      <c r="B683" t="s">
        <v>21</v>
      </c>
      <c r="C683" t="s">
        <v>40</v>
      </c>
      <c r="D683" t="s">
        <v>23</v>
      </c>
      <c r="E683" t="s">
        <v>24</v>
      </c>
      <c r="F683">
        <v>60</v>
      </c>
      <c r="G683">
        <v>68</v>
      </c>
      <c r="H683">
        <v>60</v>
      </c>
      <c r="J683">
        <v>60</v>
      </c>
      <c r="K683">
        <v>7.7459666919999997</v>
      </c>
      <c r="L683">
        <v>60</v>
      </c>
      <c r="M683">
        <v>68</v>
      </c>
      <c r="N683">
        <v>188</v>
      </c>
      <c r="O683">
        <v>62.666666669999998</v>
      </c>
      <c r="P683">
        <v>60</v>
      </c>
      <c r="Q683">
        <v>2</v>
      </c>
      <c r="R683">
        <v>7.92</v>
      </c>
      <c r="S683" t="s">
        <v>41</v>
      </c>
      <c r="T683" t="s">
        <v>42</v>
      </c>
      <c r="U683">
        <v>11</v>
      </c>
    </row>
    <row r="684" spans="1:21" x14ac:dyDescent="0.25">
      <c r="A684" t="s">
        <v>34</v>
      </c>
      <c r="B684" t="s">
        <v>21</v>
      </c>
      <c r="C684" t="s">
        <v>40</v>
      </c>
      <c r="D684" t="s">
        <v>23</v>
      </c>
      <c r="E684" t="s">
        <v>24</v>
      </c>
      <c r="F684">
        <v>62</v>
      </c>
      <c r="G684">
        <v>55</v>
      </c>
      <c r="H684">
        <v>54</v>
      </c>
      <c r="J684">
        <v>62</v>
      </c>
      <c r="K684">
        <v>7.8740078740000001</v>
      </c>
      <c r="L684">
        <v>54</v>
      </c>
      <c r="M684">
        <v>62</v>
      </c>
      <c r="N684">
        <v>171</v>
      </c>
      <c r="O684">
        <v>57</v>
      </c>
      <c r="P684">
        <v>58.5</v>
      </c>
      <c r="Q684">
        <v>4</v>
      </c>
      <c r="R684">
        <v>7.55</v>
      </c>
      <c r="S684" t="s">
        <v>41</v>
      </c>
      <c r="T684" t="s">
        <v>42</v>
      </c>
      <c r="U684">
        <v>11</v>
      </c>
    </row>
    <row r="685" spans="1:21" x14ac:dyDescent="0.25">
      <c r="A685" t="s">
        <v>20</v>
      </c>
      <c r="B685" t="s">
        <v>27</v>
      </c>
      <c r="C685" t="s">
        <v>50</v>
      </c>
      <c r="D685" t="s">
        <v>37</v>
      </c>
      <c r="E685" t="s">
        <v>29</v>
      </c>
      <c r="F685">
        <v>29</v>
      </c>
      <c r="G685">
        <v>40</v>
      </c>
      <c r="H685">
        <v>44</v>
      </c>
      <c r="J685">
        <v>29</v>
      </c>
      <c r="K685">
        <v>5.3851648069999998</v>
      </c>
      <c r="L685">
        <v>29</v>
      </c>
      <c r="M685">
        <v>44</v>
      </c>
      <c r="N685">
        <v>113</v>
      </c>
      <c r="O685">
        <v>37.666666669999998</v>
      </c>
      <c r="P685">
        <v>34.5</v>
      </c>
      <c r="Q685">
        <v>1</v>
      </c>
      <c r="R685">
        <v>6.14</v>
      </c>
      <c r="S685" t="s">
        <v>30</v>
      </c>
      <c r="T685" t="s">
        <v>42</v>
      </c>
      <c r="U685">
        <v>16</v>
      </c>
    </row>
    <row r="686" spans="1:21" x14ac:dyDescent="0.25">
      <c r="A686" t="s">
        <v>34</v>
      </c>
      <c r="B686" t="s">
        <v>21</v>
      </c>
      <c r="C686" t="s">
        <v>28</v>
      </c>
      <c r="D686" t="s">
        <v>23</v>
      </c>
      <c r="E686" t="s">
        <v>29</v>
      </c>
      <c r="F686">
        <v>62</v>
      </c>
      <c r="G686">
        <v>66</v>
      </c>
      <c r="H686">
        <v>68</v>
      </c>
      <c r="J686">
        <v>62</v>
      </c>
      <c r="K686">
        <v>7.8740078740000001</v>
      </c>
      <c r="L686">
        <v>62</v>
      </c>
      <c r="M686">
        <v>68</v>
      </c>
      <c r="N686">
        <v>196</v>
      </c>
      <c r="O686">
        <v>65.333333330000002</v>
      </c>
      <c r="P686">
        <v>64</v>
      </c>
      <c r="Q686">
        <v>1</v>
      </c>
      <c r="R686">
        <v>8.08</v>
      </c>
      <c r="S686" t="s">
        <v>30</v>
      </c>
      <c r="T686" t="s">
        <v>31</v>
      </c>
      <c r="U686">
        <v>12</v>
      </c>
    </row>
    <row r="687" spans="1:21" x14ac:dyDescent="0.25">
      <c r="A687" t="s">
        <v>20</v>
      </c>
      <c r="B687" t="s">
        <v>64</v>
      </c>
      <c r="C687" t="s">
        <v>32</v>
      </c>
      <c r="D687" t="s">
        <v>23</v>
      </c>
      <c r="E687" t="s">
        <v>29</v>
      </c>
      <c r="F687">
        <v>94</v>
      </c>
      <c r="G687">
        <v>99</v>
      </c>
      <c r="H687">
        <v>100</v>
      </c>
      <c r="J687">
        <v>94</v>
      </c>
      <c r="K687">
        <v>9.6953597150000004</v>
      </c>
      <c r="L687">
        <v>94</v>
      </c>
      <c r="M687">
        <v>100</v>
      </c>
      <c r="N687">
        <v>293</v>
      </c>
      <c r="O687">
        <v>97.666666669999998</v>
      </c>
      <c r="P687">
        <v>96.5</v>
      </c>
      <c r="Q687">
        <v>1</v>
      </c>
      <c r="R687">
        <v>9.8800000000000008</v>
      </c>
      <c r="S687" t="s">
        <v>33</v>
      </c>
      <c r="T687" t="s">
        <v>26</v>
      </c>
      <c r="U687">
        <v>15</v>
      </c>
    </row>
    <row r="688" spans="1:21" x14ac:dyDescent="0.25">
      <c r="A688" t="s">
        <v>34</v>
      </c>
      <c r="B688" t="s">
        <v>64</v>
      </c>
      <c r="C688" t="s">
        <v>28</v>
      </c>
      <c r="D688" t="s">
        <v>23</v>
      </c>
      <c r="E688" t="s">
        <v>29</v>
      </c>
      <c r="F688">
        <v>85</v>
      </c>
      <c r="G688">
        <v>75</v>
      </c>
      <c r="H688">
        <v>68</v>
      </c>
      <c r="J688">
        <v>85</v>
      </c>
      <c r="K688">
        <v>9.2195444569999996</v>
      </c>
      <c r="L688">
        <v>68</v>
      </c>
      <c r="M688">
        <v>85</v>
      </c>
      <c r="N688">
        <v>228</v>
      </c>
      <c r="O688">
        <v>76</v>
      </c>
      <c r="P688">
        <v>80</v>
      </c>
      <c r="Q688">
        <v>4</v>
      </c>
      <c r="R688">
        <v>8.7200000000000006</v>
      </c>
      <c r="S688" t="s">
        <v>30</v>
      </c>
      <c r="T688" t="s">
        <v>31</v>
      </c>
      <c r="U688">
        <v>12</v>
      </c>
    </row>
    <row r="689" spans="1:21" x14ac:dyDescent="0.25">
      <c r="A689" t="s">
        <v>34</v>
      </c>
      <c r="B689" t="s">
        <v>39</v>
      </c>
      <c r="C689" t="s">
        <v>36</v>
      </c>
      <c r="D689" t="s">
        <v>37</v>
      </c>
      <c r="E689" t="s">
        <v>24</v>
      </c>
      <c r="F689">
        <v>77</v>
      </c>
      <c r="G689">
        <v>78</v>
      </c>
      <c r="H689">
        <v>73</v>
      </c>
      <c r="J689">
        <v>77</v>
      </c>
      <c r="K689">
        <v>8.7749643870000007</v>
      </c>
      <c r="L689">
        <v>73</v>
      </c>
      <c r="M689">
        <v>78</v>
      </c>
      <c r="N689">
        <v>228</v>
      </c>
      <c r="O689">
        <v>76</v>
      </c>
      <c r="P689">
        <v>77</v>
      </c>
      <c r="Q689">
        <v>4</v>
      </c>
      <c r="R689">
        <v>8.7200000000000006</v>
      </c>
      <c r="S689" t="s">
        <v>38</v>
      </c>
      <c r="T689" t="s">
        <v>26</v>
      </c>
      <c r="U689">
        <v>18</v>
      </c>
    </row>
    <row r="690" spans="1:21" x14ac:dyDescent="0.25">
      <c r="A690" t="s">
        <v>34</v>
      </c>
      <c r="B690" t="s">
        <v>35</v>
      </c>
      <c r="C690" t="s">
        <v>40</v>
      </c>
      <c r="D690" t="s">
        <v>37</v>
      </c>
      <c r="E690" t="s">
        <v>24</v>
      </c>
      <c r="F690">
        <v>53</v>
      </c>
      <c r="G690">
        <v>58</v>
      </c>
      <c r="H690">
        <v>44</v>
      </c>
      <c r="J690">
        <v>53</v>
      </c>
      <c r="K690">
        <v>7.2801098890000002</v>
      </c>
      <c r="L690">
        <v>44</v>
      </c>
      <c r="M690">
        <v>58</v>
      </c>
      <c r="N690">
        <v>155</v>
      </c>
      <c r="O690">
        <v>51.666666669999998</v>
      </c>
      <c r="P690">
        <v>53</v>
      </c>
      <c r="Q690">
        <v>4</v>
      </c>
      <c r="R690">
        <v>7.19</v>
      </c>
      <c r="S690" t="s">
        <v>41</v>
      </c>
      <c r="T690" t="s">
        <v>42</v>
      </c>
      <c r="U690">
        <v>11</v>
      </c>
    </row>
    <row r="691" spans="1:21" x14ac:dyDescent="0.25">
      <c r="A691" t="s">
        <v>34</v>
      </c>
      <c r="B691" t="s">
        <v>64</v>
      </c>
      <c r="C691" t="s">
        <v>28</v>
      </c>
      <c r="D691" t="s">
        <v>37</v>
      </c>
      <c r="E691" t="s">
        <v>24</v>
      </c>
      <c r="F691">
        <v>93</v>
      </c>
      <c r="G691">
        <v>90</v>
      </c>
      <c r="H691">
        <v>83</v>
      </c>
      <c r="J691">
        <v>93</v>
      </c>
      <c r="K691">
        <v>9.643650761</v>
      </c>
      <c r="L691">
        <v>83</v>
      </c>
      <c r="M691">
        <v>93</v>
      </c>
      <c r="N691">
        <v>266</v>
      </c>
      <c r="O691">
        <v>88.666666669999998</v>
      </c>
      <c r="P691">
        <v>91.5</v>
      </c>
      <c r="Q691">
        <v>4</v>
      </c>
      <c r="R691">
        <v>9.42</v>
      </c>
      <c r="S691" t="s">
        <v>30</v>
      </c>
      <c r="T691" t="s">
        <v>31</v>
      </c>
      <c r="U691">
        <v>12</v>
      </c>
    </row>
    <row r="692" spans="1:21" x14ac:dyDescent="0.25">
      <c r="A692" t="s">
        <v>20</v>
      </c>
      <c r="B692" t="s">
        <v>27</v>
      </c>
      <c r="C692" t="s">
        <v>36</v>
      </c>
      <c r="D692" t="s">
        <v>23</v>
      </c>
      <c r="E692" t="s">
        <v>24</v>
      </c>
      <c r="F692">
        <v>49</v>
      </c>
      <c r="G692">
        <v>53</v>
      </c>
      <c r="H692">
        <v>53</v>
      </c>
      <c r="J692">
        <v>49</v>
      </c>
      <c r="K692">
        <v>7</v>
      </c>
      <c r="L692">
        <v>49</v>
      </c>
      <c r="M692">
        <v>53</v>
      </c>
      <c r="N692">
        <v>155</v>
      </c>
      <c r="O692">
        <v>51.666666669999998</v>
      </c>
      <c r="P692">
        <v>51</v>
      </c>
      <c r="Q692">
        <v>1</v>
      </c>
      <c r="R692">
        <v>7.19</v>
      </c>
      <c r="S692" t="s">
        <v>38</v>
      </c>
      <c r="T692" t="s">
        <v>26</v>
      </c>
      <c r="U692">
        <v>18</v>
      </c>
    </row>
    <row r="693" spans="1:21" x14ac:dyDescent="0.25">
      <c r="A693" t="s">
        <v>20</v>
      </c>
      <c r="B693" t="s">
        <v>64</v>
      </c>
      <c r="C693" t="s">
        <v>36</v>
      </c>
      <c r="D693" t="s">
        <v>37</v>
      </c>
      <c r="E693" t="s">
        <v>24</v>
      </c>
      <c r="F693">
        <v>73</v>
      </c>
      <c r="G693">
        <v>76</v>
      </c>
      <c r="H693">
        <v>78</v>
      </c>
      <c r="J693">
        <v>73</v>
      </c>
      <c r="K693">
        <v>8.5440037449999995</v>
      </c>
      <c r="L693">
        <v>73</v>
      </c>
      <c r="M693">
        <v>78</v>
      </c>
      <c r="N693">
        <v>227</v>
      </c>
      <c r="O693">
        <v>75.666666669999998</v>
      </c>
      <c r="P693">
        <v>74.5</v>
      </c>
      <c r="Q693">
        <v>1</v>
      </c>
      <c r="R693">
        <v>8.6999999999999993</v>
      </c>
      <c r="S693" t="s">
        <v>38</v>
      </c>
      <c r="T693" t="s">
        <v>26</v>
      </c>
      <c r="U693">
        <v>18</v>
      </c>
    </row>
    <row r="694" spans="1:21" x14ac:dyDescent="0.25">
      <c r="A694" t="s">
        <v>20</v>
      </c>
      <c r="B694" t="s">
        <v>27</v>
      </c>
      <c r="C694" t="s">
        <v>22</v>
      </c>
      <c r="D694" t="s">
        <v>37</v>
      </c>
      <c r="E694" t="s">
        <v>29</v>
      </c>
      <c r="F694">
        <v>66</v>
      </c>
      <c r="G694">
        <v>74</v>
      </c>
      <c r="H694">
        <v>81</v>
      </c>
      <c r="J694">
        <v>66</v>
      </c>
      <c r="K694">
        <v>8.1240384050000003</v>
      </c>
      <c r="L694">
        <v>66</v>
      </c>
      <c r="M694">
        <v>81</v>
      </c>
      <c r="N694">
        <v>221</v>
      </c>
      <c r="O694">
        <v>73.666666669999998</v>
      </c>
      <c r="P694">
        <v>70</v>
      </c>
      <c r="Q694">
        <v>1</v>
      </c>
      <c r="R694">
        <v>8.58</v>
      </c>
      <c r="S694" t="s">
        <v>25</v>
      </c>
      <c r="T694" t="s">
        <v>26</v>
      </c>
      <c r="U694">
        <v>17</v>
      </c>
    </row>
    <row r="695" spans="1:21" x14ac:dyDescent="0.25">
      <c r="A695" t="s">
        <v>20</v>
      </c>
      <c r="B695" t="s">
        <v>39</v>
      </c>
      <c r="C695" t="s">
        <v>36</v>
      </c>
      <c r="D695" t="s">
        <v>23</v>
      </c>
      <c r="E695" t="s">
        <v>24</v>
      </c>
      <c r="F695">
        <v>77</v>
      </c>
      <c r="G695">
        <v>77</v>
      </c>
      <c r="H695">
        <v>73</v>
      </c>
      <c r="J695">
        <v>77</v>
      </c>
      <c r="K695">
        <v>8.7749643870000007</v>
      </c>
      <c r="L695">
        <v>73</v>
      </c>
      <c r="M695">
        <v>77</v>
      </c>
      <c r="N695">
        <v>227</v>
      </c>
      <c r="O695">
        <v>75.666666669999998</v>
      </c>
      <c r="P695">
        <v>77</v>
      </c>
      <c r="Q695">
        <v>4</v>
      </c>
      <c r="R695">
        <v>8.6999999999999993</v>
      </c>
      <c r="S695" t="s">
        <v>38</v>
      </c>
      <c r="T695" t="s">
        <v>26</v>
      </c>
      <c r="U695">
        <v>18</v>
      </c>
    </row>
    <row r="696" spans="1:21" x14ac:dyDescent="0.25">
      <c r="A696" t="s">
        <v>20</v>
      </c>
      <c r="B696" t="s">
        <v>27</v>
      </c>
      <c r="C696" t="s">
        <v>50</v>
      </c>
      <c r="D696" t="s">
        <v>23</v>
      </c>
      <c r="E696" t="s">
        <v>24</v>
      </c>
      <c r="F696">
        <v>49</v>
      </c>
      <c r="G696">
        <v>63</v>
      </c>
      <c r="H696">
        <v>56</v>
      </c>
      <c r="J696">
        <v>49</v>
      </c>
      <c r="K696">
        <v>7</v>
      </c>
      <c r="L696">
        <v>49</v>
      </c>
      <c r="M696">
        <v>63</v>
      </c>
      <c r="N696">
        <v>168</v>
      </c>
      <c r="O696">
        <v>56</v>
      </c>
      <c r="P696">
        <v>52.5</v>
      </c>
      <c r="Q696">
        <v>2</v>
      </c>
      <c r="R696">
        <v>7.48</v>
      </c>
      <c r="S696" t="s">
        <v>30</v>
      </c>
      <c r="T696" t="s">
        <v>42</v>
      </c>
      <c r="U696">
        <v>16</v>
      </c>
    </row>
    <row r="697" spans="1:21" x14ac:dyDescent="0.25">
      <c r="A697" t="s">
        <v>20</v>
      </c>
      <c r="B697" t="s">
        <v>39</v>
      </c>
      <c r="C697" t="s">
        <v>28</v>
      </c>
      <c r="D697" t="s">
        <v>37</v>
      </c>
      <c r="E697" t="s">
        <v>24</v>
      </c>
      <c r="F697">
        <v>79</v>
      </c>
      <c r="G697">
        <v>89</v>
      </c>
      <c r="H697">
        <v>86</v>
      </c>
      <c r="J697">
        <v>79</v>
      </c>
      <c r="K697">
        <v>8.8881944169999993</v>
      </c>
      <c r="L697">
        <v>79</v>
      </c>
      <c r="M697">
        <v>89</v>
      </c>
      <c r="N697">
        <v>254</v>
      </c>
      <c r="O697">
        <v>84.666666669999998</v>
      </c>
      <c r="P697">
        <v>82.5</v>
      </c>
      <c r="Q697">
        <v>2</v>
      </c>
      <c r="R697">
        <v>9.1999999999999993</v>
      </c>
      <c r="S697" t="s">
        <v>30</v>
      </c>
      <c r="T697" t="s">
        <v>31</v>
      </c>
      <c r="U697">
        <v>12</v>
      </c>
    </row>
    <row r="698" spans="1:21" x14ac:dyDescent="0.25">
      <c r="A698" t="s">
        <v>20</v>
      </c>
      <c r="B698" t="s">
        <v>27</v>
      </c>
      <c r="C698" t="s">
        <v>36</v>
      </c>
      <c r="D698" t="s">
        <v>23</v>
      </c>
      <c r="E698" t="s">
        <v>29</v>
      </c>
      <c r="F698">
        <v>75</v>
      </c>
      <c r="G698">
        <v>82</v>
      </c>
      <c r="H698">
        <v>90</v>
      </c>
      <c r="J698">
        <v>75</v>
      </c>
      <c r="K698">
        <v>8.6602540379999997</v>
      </c>
      <c r="L698">
        <v>75</v>
      </c>
      <c r="M698">
        <v>90</v>
      </c>
      <c r="N698">
        <v>247</v>
      </c>
      <c r="O698">
        <v>82.333333330000002</v>
      </c>
      <c r="P698">
        <v>78.5</v>
      </c>
      <c r="Q698">
        <v>1</v>
      </c>
      <c r="R698">
        <v>9.07</v>
      </c>
      <c r="S698" t="s">
        <v>38</v>
      </c>
      <c r="T698" t="s">
        <v>26</v>
      </c>
      <c r="U698">
        <v>18</v>
      </c>
    </row>
    <row r="699" spans="1:21" x14ac:dyDescent="0.25">
      <c r="A699" t="s">
        <v>20</v>
      </c>
      <c r="B699" t="s">
        <v>35</v>
      </c>
      <c r="C699" t="s">
        <v>22</v>
      </c>
      <c r="D699" t="s">
        <v>23</v>
      </c>
      <c r="E699" t="s">
        <v>24</v>
      </c>
      <c r="F699">
        <v>59</v>
      </c>
      <c r="G699">
        <v>72</v>
      </c>
      <c r="H699">
        <v>70</v>
      </c>
      <c r="J699">
        <v>59</v>
      </c>
      <c r="K699">
        <v>7.6811457479999996</v>
      </c>
      <c r="L699">
        <v>59</v>
      </c>
      <c r="M699">
        <v>72</v>
      </c>
      <c r="N699">
        <v>201</v>
      </c>
      <c r="O699">
        <v>67</v>
      </c>
      <c r="P699">
        <v>64.5</v>
      </c>
      <c r="Q699">
        <v>2</v>
      </c>
      <c r="R699">
        <v>8.19</v>
      </c>
      <c r="S699" t="s">
        <v>25</v>
      </c>
      <c r="T699" t="s">
        <v>26</v>
      </c>
      <c r="U699">
        <v>17</v>
      </c>
    </row>
    <row r="700" spans="1:21" x14ac:dyDescent="0.25">
      <c r="A700" t="s">
        <v>20</v>
      </c>
      <c r="B700" t="s">
        <v>39</v>
      </c>
      <c r="C700" t="s">
        <v>36</v>
      </c>
      <c r="D700" t="s">
        <v>23</v>
      </c>
      <c r="E700" t="s">
        <v>29</v>
      </c>
      <c r="F700">
        <v>57</v>
      </c>
      <c r="G700">
        <v>78</v>
      </c>
      <c r="H700">
        <v>79</v>
      </c>
      <c r="J700">
        <v>57</v>
      </c>
      <c r="K700">
        <v>7.5498344350000002</v>
      </c>
      <c r="L700">
        <v>57</v>
      </c>
      <c r="M700">
        <v>79</v>
      </c>
      <c r="N700">
        <v>214</v>
      </c>
      <c r="O700">
        <v>71.333333330000002</v>
      </c>
      <c r="P700">
        <v>67.5</v>
      </c>
      <c r="Q700">
        <v>1</v>
      </c>
      <c r="R700">
        <v>8.4499999999999993</v>
      </c>
      <c r="S700" t="s">
        <v>38</v>
      </c>
      <c r="T700" t="s">
        <v>26</v>
      </c>
      <c r="U700">
        <v>18</v>
      </c>
    </row>
    <row r="701" spans="1:21" x14ac:dyDescent="0.25">
      <c r="A701" t="s">
        <v>34</v>
      </c>
      <c r="B701" t="s">
        <v>27</v>
      </c>
      <c r="C701" t="s">
        <v>40</v>
      </c>
      <c r="D701" t="s">
        <v>37</v>
      </c>
      <c r="E701" t="s">
        <v>24</v>
      </c>
      <c r="F701">
        <v>66</v>
      </c>
      <c r="G701">
        <v>66</v>
      </c>
      <c r="H701">
        <v>59</v>
      </c>
      <c r="J701">
        <v>66</v>
      </c>
      <c r="K701">
        <v>8.1240384050000003</v>
      </c>
      <c r="L701">
        <v>59</v>
      </c>
      <c r="M701">
        <v>66</v>
      </c>
      <c r="N701">
        <v>191</v>
      </c>
      <c r="O701">
        <v>63.666666669999998</v>
      </c>
      <c r="P701">
        <v>66</v>
      </c>
      <c r="Q701">
        <v>4</v>
      </c>
      <c r="R701">
        <v>7.98</v>
      </c>
      <c r="S701" t="s">
        <v>41</v>
      </c>
      <c r="T701" t="s">
        <v>42</v>
      </c>
      <c r="U701">
        <v>11</v>
      </c>
    </row>
    <row r="702" spans="1:21" x14ac:dyDescent="0.25">
      <c r="A702" t="s">
        <v>20</v>
      </c>
      <c r="B702" t="s">
        <v>64</v>
      </c>
      <c r="C702" t="s">
        <v>22</v>
      </c>
      <c r="D702" t="s">
        <v>23</v>
      </c>
      <c r="E702" t="s">
        <v>29</v>
      </c>
      <c r="F702">
        <v>79</v>
      </c>
      <c r="G702">
        <v>81</v>
      </c>
      <c r="H702">
        <v>82</v>
      </c>
      <c r="J702">
        <v>79</v>
      </c>
      <c r="K702">
        <v>8.8881944169999993</v>
      </c>
      <c r="L702">
        <v>79</v>
      </c>
      <c r="M702">
        <v>82</v>
      </c>
      <c r="N702">
        <v>242</v>
      </c>
      <c r="O702">
        <v>80.666666669999998</v>
      </c>
      <c r="P702">
        <v>80</v>
      </c>
      <c r="Q702">
        <v>1</v>
      </c>
      <c r="R702">
        <v>8.98</v>
      </c>
      <c r="S702" t="s">
        <v>25</v>
      </c>
      <c r="T702" t="s">
        <v>26</v>
      </c>
      <c r="U702">
        <v>17</v>
      </c>
    </row>
    <row r="703" spans="1:21" x14ac:dyDescent="0.25">
      <c r="A703" t="s">
        <v>20</v>
      </c>
      <c r="B703" t="s">
        <v>21</v>
      </c>
      <c r="C703" t="s">
        <v>50</v>
      </c>
      <c r="D703" t="s">
        <v>23</v>
      </c>
      <c r="E703" t="s">
        <v>24</v>
      </c>
      <c r="F703">
        <v>57</v>
      </c>
      <c r="G703">
        <v>67</v>
      </c>
      <c r="H703">
        <v>72</v>
      </c>
      <c r="J703">
        <v>57</v>
      </c>
      <c r="K703">
        <v>7.5498344350000002</v>
      </c>
      <c r="L703">
        <v>57</v>
      </c>
      <c r="M703">
        <v>72</v>
      </c>
      <c r="N703">
        <v>196</v>
      </c>
      <c r="O703">
        <v>65.333333330000002</v>
      </c>
      <c r="P703">
        <v>62</v>
      </c>
      <c r="Q703">
        <v>1</v>
      </c>
      <c r="R703">
        <v>8.08</v>
      </c>
      <c r="S703" t="s">
        <v>30</v>
      </c>
      <c r="T703" t="s">
        <v>42</v>
      </c>
      <c r="U703">
        <v>16</v>
      </c>
    </row>
    <row r="704" spans="1:21" x14ac:dyDescent="0.25">
      <c r="A704" t="s">
        <v>34</v>
      </c>
      <c r="B704" t="s">
        <v>35</v>
      </c>
      <c r="C704" t="s">
        <v>22</v>
      </c>
      <c r="D704" t="s">
        <v>23</v>
      </c>
      <c r="E704" t="s">
        <v>29</v>
      </c>
      <c r="F704">
        <v>87</v>
      </c>
      <c r="G704">
        <v>84</v>
      </c>
      <c r="H704">
        <v>87</v>
      </c>
      <c r="J704">
        <v>87</v>
      </c>
      <c r="K704">
        <v>9.3273790529999996</v>
      </c>
      <c r="L704">
        <v>84</v>
      </c>
      <c r="M704">
        <v>87</v>
      </c>
      <c r="N704">
        <v>258</v>
      </c>
      <c r="O704">
        <v>86</v>
      </c>
      <c r="P704">
        <v>87</v>
      </c>
      <c r="Q704">
        <v>1</v>
      </c>
      <c r="R704">
        <v>9.27</v>
      </c>
      <c r="S704" t="s">
        <v>25</v>
      </c>
      <c r="T704" t="s">
        <v>26</v>
      </c>
      <c r="U704">
        <v>17</v>
      </c>
    </row>
    <row r="705" spans="1:21" x14ac:dyDescent="0.25">
      <c r="A705" t="s">
        <v>20</v>
      </c>
      <c r="B705" t="s">
        <v>39</v>
      </c>
      <c r="C705" t="s">
        <v>28</v>
      </c>
      <c r="D705" t="s">
        <v>23</v>
      </c>
      <c r="E705" t="s">
        <v>24</v>
      </c>
      <c r="F705">
        <v>63</v>
      </c>
      <c r="G705">
        <v>64</v>
      </c>
      <c r="H705">
        <v>67</v>
      </c>
      <c r="J705">
        <v>63</v>
      </c>
      <c r="K705">
        <v>7.937253933</v>
      </c>
      <c r="L705">
        <v>63</v>
      </c>
      <c r="M705">
        <v>67</v>
      </c>
      <c r="N705">
        <v>194</v>
      </c>
      <c r="O705">
        <v>64.666666669999998</v>
      </c>
      <c r="P705">
        <v>63.5</v>
      </c>
      <c r="Q705">
        <v>1</v>
      </c>
      <c r="R705">
        <v>8.0399999999999991</v>
      </c>
      <c r="S705" t="s">
        <v>30</v>
      </c>
      <c r="T705" t="s">
        <v>31</v>
      </c>
      <c r="U705">
        <v>12</v>
      </c>
    </row>
    <row r="706" spans="1:21" x14ac:dyDescent="0.25">
      <c r="A706" t="s">
        <v>20</v>
      </c>
      <c r="B706" t="s">
        <v>21</v>
      </c>
      <c r="C706" t="s">
        <v>50</v>
      </c>
      <c r="D706" t="s">
        <v>37</v>
      </c>
      <c r="E706" t="s">
        <v>29</v>
      </c>
      <c r="F706">
        <v>59</v>
      </c>
      <c r="G706">
        <v>63</v>
      </c>
      <c r="H706">
        <v>64</v>
      </c>
      <c r="J706">
        <v>59</v>
      </c>
      <c r="K706">
        <v>7.6811457479999996</v>
      </c>
      <c r="L706">
        <v>59</v>
      </c>
      <c r="M706">
        <v>64</v>
      </c>
      <c r="N706">
        <v>186</v>
      </c>
      <c r="O706">
        <v>62</v>
      </c>
      <c r="P706">
        <v>61</v>
      </c>
      <c r="Q706">
        <v>1</v>
      </c>
      <c r="R706">
        <v>7.87</v>
      </c>
      <c r="S706" t="s">
        <v>30</v>
      </c>
      <c r="T706" t="s">
        <v>42</v>
      </c>
      <c r="U706">
        <v>16</v>
      </c>
    </row>
    <row r="707" spans="1:21" x14ac:dyDescent="0.25">
      <c r="A707" t="s">
        <v>34</v>
      </c>
      <c r="B707" t="s">
        <v>35</v>
      </c>
      <c r="C707" t="s">
        <v>22</v>
      </c>
      <c r="D707" t="s">
        <v>37</v>
      </c>
      <c r="E707" t="s">
        <v>24</v>
      </c>
      <c r="F707">
        <v>62</v>
      </c>
      <c r="G707">
        <v>72</v>
      </c>
      <c r="H707">
        <v>65</v>
      </c>
      <c r="J707">
        <v>62</v>
      </c>
      <c r="K707">
        <v>7.8740078740000001</v>
      </c>
      <c r="L707">
        <v>62</v>
      </c>
      <c r="M707">
        <v>72</v>
      </c>
      <c r="N707">
        <v>199</v>
      </c>
      <c r="O707">
        <v>66.333333330000002</v>
      </c>
      <c r="P707">
        <v>63.5</v>
      </c>
      <c r="Q707">
        <v>2</v>
      </c>
      <c r="R707">
        <v>8.14</v>
      </c>
      <c r="S707" t="s">
        <v>25</v>
      </c>
      <c r="T707" t="s">
        <v>26</v>
      </c>
      <c r="U707">
        <v>17</v>
      </c>
    </row>
    <row r="708" spans="1:21" x14ac:dyDescent="0.25">
      <c r="A708" t="s">
        <v>34</v>
      </c>
      <c r="B708" t="s">
        <v>39</v>
      </c>
      <c r="C708" t="s">
        <v>40</v>
      </c>
      <c r="D708" t="s">
        <v>23</v>
      </c>
      <c r="E708" t="s">
        <v>24</v>
      </c>
      <c r="F708">
        <v>46</v>
      </c>
      <c r="G708">
        <v>34</v>
      </c>
      <c r="H708">
        <v>36</v>
      </c>
      <c r="J708">
        <v>46</v>
      </c>
      <c r="K708">
        <v>6.7823299830000003</v>
      </c>
      <c r="L708">
        <v>34</v>
      </c>
      <c r="M708">
        <v>46</v>
      </c>
      <c r="N708">
        <v>116</v>
      </c>
      <c r="O708">
        <v>38.666666669999998</v>
      </c>
      <c r="P708">
        <v>41</v>
      </c>
      <c r="Q708">
        <v>3</v>
      </c>
      <c r="R708">
        <v>6.22</v>
      </c>
      <c r="S708" t="s">
        <v>41</v>
      </c>
      <c r="T708" t="s">
        <v>42</v>
      </c>
      <c r="U708">
        <v>11</v>
      </c>
    </row>
    <row r="709" spans="1:21" x14ac:dyDescent="0.25">
      <c r="A709" t="s">
        <v>34</v>
      </c>
      <c r="B709" t="s">
        <v>27</v>
      </c>
      <c r="C709" t="s">
        <v>28</v>
      </c>
      <c r="D709" t="s">
        <v>23</v>
      </c>
      <c r="E709" t="s">
        <v>24</v>
      </c>
      <c r="F709">
        <v>66</v>
      </c>
      <c r="G709">
        <v>59</v>
      </c>
      <c r="H709">
        <v>52</v>
      </c>
      <c r="J709">
        <v>66</v>
      </c>
      <c r="K709">
        <v>8.1240384050000003</v>
      </c>
      <c r="L709">
        <v>52</v>
      </c>
      <c r="M709">
        <v>66</v>
      </c>
      <c r="N709">
        <v>177</v>
      </c>
      <c r="O709">
        <v>59</v>
      </c>
      <c r="P709">
        <v>62.5</v>
      </c>
      <c r="Q709">
        <v>4</v>
      </c>
      <c r="R709">
        <v>7.68</v>
      </c>
      <c r="S709" t="s">
        <v>30</v>
      </c>
      <c r="T709" t="s">
        <v>31</v>
      </c>
      <c r="U709">
        <v>12</v>
      </c>
    </row>
    <row r="710" spans="1:21" x14ac:dyDescent="0.25">
      <c r="A710" t="s">
        <v>34</v>
      </c>
      <c r="B710" t="s">
        <v>39</v>
      </c>
      <c r="C710" t="s">
        <v>40</v>
      </c>
      <c r="D710" t="s">
        <v>23</v>
      </c>
      <c r="E710" t="s">
        <v>24</v>
      </c>
      <c r="F710">
        <v>89</v>
      </c>
      <c r="G710">
        <v>87</v>
      </c>
      <c r="H710">
        <v>79</v>
      </c>
      <c r="J710">
        <v>89</v>
      </c>
      <c r="K710">
        <v>9.4339811319999995</v>
      </c>
      <c r="L710">
        <v>79</v>
      </c>
      <c r="M710">
        <v>89</v>
      </c>
      <c r="N710">
        <v>255</v>
      </c>
      <c r="O710">
        <v>85</v>
      </c>
      <c r="P710">
        <v>88</v>
      </c>
      <c r="Q710">
        <v>4</v>
      </c>
      <c r="R710">
        <v>9.2200000000000006</v>
      </c>
      <c r="S710" t="s">
        <v>41</v>
      </c>
      <c r="T710" t="s">
        <v>42</v>
      </c>
      <c r="U710">
        <v>11</v>
      </c>
    </row>
    <row r="711" spans="1:21" x14ac:dyDescent="0.25">
      <c r="A711" t="s">
        <v>20</v>
      </c>
      <c r="B711" t="s">
        <v>39</v>
      </c>
      <c r="C711" t="s">
        <v>36</v>
      </c>
      <c r="D711" t="s">
        <v>37</v>
      </c>
      <c r="E711" t="s">
        <v>29</v>
      </c>
      <c r="F711">
        <v>42</v>
      </c>
      <c r="G711">
        <v>61</v>
      </c>
      <c r="H711">
        <v>58</v>
      </c>
      <c r="J711">
        <v>42</v>
      </c>
      <c r="K711">
        <v>6.480740698</v>
      </c>
      <c r="L711">
        <v>42</v>
      </c>
      <c r="M711">
        <v>61</v>
      </c>
      <c r="N711">
        <v>161</v>
      </c>
      <c r="O711">
        <v>53.666666669999998</v>
      </c>
      <c r="P711">
        <v>50</v>
      </c>
      <c r="Q711">
        <v>2</v>
      </c>
      <c r="R711">
        <v>7.33</v>
      </c>
      <c r="S711" t="s">
        <v>38</v>
      </c>
      <c r="T711" t="s">
        <v>26</v>
      </c>
      <c r="U711">
        <v>18</v>
      </c>
    </row>
    <row r="712" spans="1:21" x14ac:dyDescent="0.25">
      <c r="A712" t="s">
        <v>34</v>
      </c>
      <c r="B712" t="s">
        <v>27</v>
      </c>
      <c r="C712" t="s">
        <v>28</v>
      </c>
      <c r="D712" t="s">
        <v>23</v>
      </c>
      <c r="E712" t="s">
        <v>29</v>
      </c>
      <c r="F712">
        <v>93</v>
      </c>
      <c r="G712">
        <v>84</v>
      </c>
      <c r="H712">
        <v>90</v>
      </c>
      <c r="J712">
        <v>93</v>
      </c>
      <c r="K712">
        <v>9.643650761</v>
      </c>
      <c r="L712">
        <v>84</v>
      </c>
      <c r="M712">
        <v>93</v>
      </c>
      <c r="N712">
        <v>267</v>
      </c>
      <c r="O712">
        <v>89</v>
      </c>
      <c r="P712">
        <v>91.5</v>
      </c>
      <c r="Q712">
        <v>3</v>
      </c>
      <c r="R712">
        <v>9.43</v>
      </c>
      <c r="S712" t="s">
        <v>30</v>
      </c>
      <c r="T712" t="s">
        <v>31</v>
      </c>
      <c r="U712">
        <v>12</v>
      </c>
    </row>
    <row r="713" spans="1:21" x14ac:dyDescent="0.25">
      <c r="A713" t="s">
        <v>20</v>
      </c>
      <c r="B713" t="s">
        <v>64</v>
      </c>
      <c r="C713" t="s">
        <v>50</v>
      </c>
      <c r="D713" t="s">
        <v>23</v>
      </c>
      <c r="E713" t="s">
        <v>29</v>
      </c>
      <c r="F713">
        <v>80</v>
      </c>
      <c r="G713">
        <v>85</v>
      </c>
      <c r="H713">
        <v>85</v>
      </c>
      <c r="J713">
        <v>80</v>
      </c>
      <c r="K713">
        <v>8.9442719099999994</v>
      </c>
      <c r="L713">
        <v>80</v>
      </c>
      <c r="M713">
        <v>85</v>
      </c>
      <c r="N713">
        <v>250</v>
      </c>
      <c r="O713">
        <v>83.333333330000002</v>
      </c>
      <c r="P713">
        <v>82.5</v>
      </c>
      <c r="Q713">
        <v>1</v>
      </c>
      <c r="R713">
        <v>9.1300000000000008</v>
      </c>
      <c r="S713" t="s">
        <v>30</v>
      </c>
      <c r="T713" t="s">
        <v>42</v>
      </c>
      <c r="U713">
        <v>16</v>
      </c>
    </row>
    <row r="714" spans="1:21" x14ac:dyDescent="0.25">
      <c r="A714" t="s">
        <v>20</v>
      </c>
      <c r="B714" t="s">
        <v>39</v>
      </c>
      <c r="C714" t="s">
        <v>28</v>
      </c>
      <c r="D714" t="s">
        <v>23</v>
      </c>
      <c r="E714" t="s">
        <v>24</v>
      </c>
      <c r="F714">
        <v>98</v>
      </c>
      <c r="G714">
        <v>100</v>
      </c>
      <c r="H714">
        <v>99</v>
      </c>
      <c r="J714">
        <v>98</v>
      </c>
      <c r="K714">
        <v>9.899494937</v>
      </c>
      <c r="L714">
        <v>98</v>
      </c>
      <c r="M714">
        <v>100</v>
      </c>
      <c r="N714">
        <v>297</v>
      </c>
      <c r="O714">
        <v>99</v>
      </c>
      <c r="P714">
        <v>98.5</v>
      </c>
      <c r="Q714">
        <v>2</v>
      </c>
      <c r="R714">
        <v>9.9499999999999993</v>
      </c>
      <c r="S714" t="s">
        <v>30</v>
      </c>
      <c r="T714" t="s">
        <v>31</v>
      </c>
      <c r="U714">
        <v>12</v>
      </c>
    </row>
    <row r="715" spans="1:21" x14ac:dyDescent="0.25">
      <c r="A715" t="s">
        <v>34</v>
      </c>
      <c r="B715" t="s">
        <v>39</v>
      </c>
      <c r="C715" t="s">
        <v>32</v>
      </c>
      <c r="D715" t="s">
        <v>23</v>
      </c>
      <c r="E715" t="s">
        <v>24</v>
      </c>
      <c r="F715">
        <v>81</v>
      </c>
      <c r="G715">
        <v>81</v>
      </c>
      <c r="H715">
        <v>84</v>
      </c>
      <c r="J715">
        <v>81</v>
      </c>
      <c r="K715">
        <v>9</v>
      </c>
      <c r="L715">
        <v>81</v>
      </c>
      <c r="M715">
        <v>84</v>
      </c>
      <c r="N715">
        <v>246</v>
      </c>
      <c r="O715">
        <v>82</v>
      </c>
      <c r="P715">
        <v>81</v>
      </c>
      <c r="Q715">
        <v>1</v>
      </c>
      <c r="R715">
        <v>9.06</v>
      </c>
      <c r="S715" t="s">
        <v>33</v>
      </c>
      <c r="T715" t="s">
        <v>26</v>
      </c>
      <c r="U715">
        <v>15</v>
      </c>
    </row>
    <row r="716" spans="1:21" x14ac:dyDescent="0.25">
      <c r="A716" t="s">
        <v>20</v>
      </c>
      <c r="B716" t="s">
        <v>21</v>
      </c>
      <c r="C716" t="s">
        <v>50</v>
      </c>
      <c r="D716" t="s">
        <v>23</v>
      </c>
      <c r="E716" t="s">
        <v>29</v>
      </c>
      <c r="F716">
        <v>60</v>
      </c>
      <c r="G716">
        <v>70</v>
      </c>
      <c r="H716">
        <v>74</v>
      </c>
      <c r="J716">
        <v>60</v>
      </c>
      <c r="K716">
        <v>7.7459666919999997</v>
      </c>
      <c r="L716">
        <v>60</v>
      </c>
      <c r="M716">
        <v>74</v>
      </c>
      <c r="N716">
        <v>204</v>
      </c>
      <c r="O716">
        <v>68</v>
      </c>
      <c r="P716">
        <v>65</v>
      </c>
      <c r="Q716">
        <v>1</v>
      </c>
      <c r="R716">
        <v>8.25</v>
      </c>
      <c r="S716" t="s">
        <v>30</v>
      </c>
      <c r="T716" t="s">
        <v>42</v>
      </c>
      <c r="U716">
        <v>16</v>
      </c>
    </row>
    <row r="717" spans="1:21" x14ac:dyDescent="0.25">
      <c r="A717" t="s">
        <v>20</v>
      </c>
      <c r="B717" t="s">
        <v>21</v>
      </c>
      <c r="C717" t="s">
        <v>36</v>
      </c>
      <c r="D717" t="s">
        <v>37</v>
      </c>
      <c r="E717" t="s">
        <v>29</v>
      </c>
      <c r="F717">
        <v>76</v>
      </c>
      <c r="G717">
        <v>94</v>
      </c>
      <c r="H717">
        <v>87</v>
      </c>
      <c r="J717">
        <v>76</v>
      </c>
      <c r="K717">
        <v>8.7177978869999997</v>
      </c>
      <c r="L717">
        <v>76</v>
      </c>
      <c r="M717">
        <v>94</v>
      </c>
      <c r="N717">
        <v>257</v>
      </c>
      <c r="O717">
        <v>85.666666669999998</v>
      </c>
      <c r="P717">
        <v>81.5</v>
      </c>
      <c r="Q717">
        <v>2</v>
      </c>
      <c r="R717">
        <v>9.26</v>
      </c>
      <c r="S717" t="s">
        <v>38</v>
      </c>
      <c r="T717" t="s">
        <v>26</v>
      </c>
      <c r="U717">
        <v>18</v>
      </c>
    </row>
    <row r="718" spans="1:21" x14ac:dyDescent="0.25">
      <c r="A718" t="s">
        <v>34</v>
      </c>
      <c r="B718" t="s">
        <v>27</v>
      </c>
      <c r="C718" t="s">
        <v>36</v>
      </c>
      <c r="D718" t="s">
        <v>23</v>
      </c>
      <c r="E718" t="s">
        <v>29</v>
      </c>
      <c r="F718">
        <v>73</v>
      </c>
      <c r="G718">
        <v>78</v>
      </c>
      <c r="H718">
        <v>72</v>
      </c>
      <c r="J718">
        <v>73</v>
      </c>
      <c r="K718">
        <v>8.5440037449999995</v>
      </c>
      <c r="L718">
        <v>72</v>
      </c>
      <c r="M718">
        <v>78</v>
      </c>
      <c r="N718">
        <v>223</v>
      </c>
      <c r="O718">
        <v>74.333333330000002</v>
      </c>
      <c r="P718">
        <v>73</v>
      </c>
      <c r="Q718">
        <v>4</v>
      </c>
      <c r="R718">
        <v>8.6199999999999992</v>
      </c>
      <c r="S718" t="s">
        <v>38</v>
      </c>
      <c r="T718" t="s">
        <v>26</v>
      </c>
      <c r="U718">
        <v>18</v>
      </c>
    </row>
    <row r="719" spans="1:21" x14ac:dyDescent="0.25">
      <c r="A719" t="s">
        <v>20</v>
      </c>
      <c r="B719" t="s">
        <v>27</v>
      </c>
      <c r="C719" t="s">
        <v>36</v>
      </c>
      <c r="D719" t="s">
        <v>23</v>
      </c>
      <c r="E719" t="s">
        <v>29</v>
      </c>
      <c r="F719">
        <v>96</v>
      </c>
      <c r="G719">
        <v>96</v>
      </c>
      <c r="H719">
        <v>99</v>
      </c>
      <c r="J719">
        <v>96</v>
      </c>
      <c r="K719">
        <v>9.7979589709999999</v>
      </c>
      <c r="L719">
        <v>96</v>
      </c>
      <c r="M719">
        <v>99</v>
      </c>
      <c r="N719">
        <v>291</v>
      </c>
      <c r="O719">
        <v>97</v>
      </c>
      <c r="P719">
        <v>96</v>
      </c>
      <c r="Q719">
        <v>1</v>
      </c>
      <c r="R719">
        <v>9.85</v>
      </c>
      <c r="S719" t="s">
        <v>38</v>
      </c>
      <c r="T719" t="s">
        <v>26</v>
      </c>
      <c r="U719">
        <v>18</v>
      </c>
    </row>
    <row r="720" spans="1:21" x14ac:dyDescent="0.25">
      <c r="A720" t="s">
        <v>20</v>
      </c>
      <c r="B720" t="s">
        <v>27</v>
      </c>
      <c r="C720" t="s">
        <v>40</v>
      </c>
      <c r="D720" t="s">
        <v>23</v>
      </c>
      <c r="E720" t="s">
        <v>24</v>
      </c>
      <c r="F720">
        <v>76</v>
      </c>
      <c r="G720">
        <v>76</v>
      </c>
      <c r="H720">
        <v>74</v>
      </c>
      <c r="J720">
        <v>76</v>
      </c>
      <c r="K720">
        <v>8.7177978869999997</v>
      </c>
      <c r="L720">
        <v>74</v>
      </c>
      <c r="M720">
        <v>76</v>
      </c>
      <c r="N720">
        <v>226</v>
      </c>
      <c r="O720">
        <v>75.333333330000002</v>
      </c>
      <c r="P720">
        <v>76</v>
      </c>
      <c r="Q720">
        <v>4</v>
      </c>
      <c r="R720">
        <v>8.68</v>
      </c>
      <c r="S720" t="s">
        <v>41</v>
      </c>
      <c r="T720" t="s">
        <v>42</v>
      </c>
      <c r="U720">
        <v>11</v>
      </c>
    </row>
    <row r="721" spans="1:21" x14ac:dyDescent="0.25">
      <c r="A721" t="s">
        <v>34</v>
      </c>
      <c r="B721" t="s">
        <v>64</v>
      </c>
      <c r="C721" t="s">
        <v>36</v>
      </c>
      <c r="D721" t="s">
        <v>37</v>
      </c>
      <c r="E721" t="s">
        <v>29</v>
      </c>
      <c r="F721">
        <v>91</v>
      </c>
      <c r="G721">
        <v>73</v>
      </c>
      <c r="H721">
        <v>80</v>
      </c>
      <c r="J721">
        <v>91</v>
      </c>
      <c r="K721">
        <v>9.5393920140000006</v>
      </c>
      <c r="L721">
        <v>73</v>
      </c>
      <c r="M721">
        <v>91</v>
      </c>
      <c r="N721">
        <v>244</v>
      </c>
      <c r="O721">
        <v>81.333333330000002</v>
      </c>
      <c r="P721">
        <v>85.5</v>
      </c>
      <c r="Q721">
        <v>3</v>
      </c>
      <c r="R721">
        <v>9.02</v>
      </c>
      <c r="S721" t="s">
        <v>38</v>
      </c>
      <c r="T721" t="s">
        <v>26</v>
      </c>
      <c r="U721">
        <v>18</v>
      </c>
    </row>
    <row r="722" spans="1:21" x14ac:dyDescent="0.25">
      <c r="A722" t="s">
        <v>20</v>
      </c>
      <c r="B722" t="s">
        <v>27</v>
      </c>
      <c r="C722" t="s">
        <v>28</v>
      </c>
      <c r="D722" t="s">
        <v>37</v>
      </c>
      <c r="E722" t="s">
        <v>24</v>
      </c>
      <c r="F722">
        <v>62</v>
      </c>
      <c r="G722">
        <v>72</v>
      </c>
      <c r="H722">
        <v>70</v>
      </c>
      <c r="J722">
        <v>62</v>
      </c>
      <c r="K722">
        <v>7.8740078740000001</v>
      </c>
      <c r="L722">
        <v>62</v>
      </c>
      <c r="M722">
        <v>72</v>
      </c>
      <c r="N722">
        <v>204</v>
      </c>
      <c r="O722">
        <v>68</v>
      </c>
      <c r="P722">
        <v>66</v>
      </c>
      <c r="Q722">
        <v>2</v>
      </c>
      <c r="R722">
        <v>8.25</v>
      </c>
      <c r="S722" t="s">
        <v>30</v>
      </c>
      <c r="T722" t="s">
        <v>31</v>
      </c>
      <c r="U722">
        <v>12</v>
      </c>
    </row>
    <row r="723" spans="1:21" x14ac:dyDescent="0.25">
      <c r="A723" t="s">
        <v>34</v>
      </c>
      <c r="B723" t="s">
        <v>39</v>
      </c>
      <c r="C723" t="s">
        <v>50</v>
      </c>
      <c r="D723" t="s">
        <v>37</v>
      </c>
      <c r="E723" t="s">
        <v>29</v>
      </c>
      <c r="F723">
        <v>55</v>
      </c>
      <c r="G723">
        <v>59</v>
      </c>
      <c r="H723">
        <v>59</v>
      </c>
      <c r="J723">
        <v>55</v>
      </c>
      <c r="K723">
        <v>7.416198487</v>
      </c>
      <c r="L723">
        <v>55</v>
      </c>
      <c r="M723">
        <v>59</v>
      </c>
      <c r="N723">
        <v>173</v>
      </c>
      <c r="O723">
        <v>57.666666669999998</v>
      </c>
      <c r="P723">
        <v>57</v>
      </c>
      <c r="Q723">
        <v>1</v>
      </c>
      <c r="R723">
        <v>7.59</v>
      </c>
      <c r="S723" t="s">
        <v>30</v>
      </c>
      <c r="T723" t="s">
        <v>42</v>
      </c>
      <c r="U723">
        <v>16</v>
      </c>
    </row>
    <row r="724" spans="1:21" x14ac:dyDescent="0.25">
      <c r="A724" t="s">
        <v>20</v>
      </c>
      <c r="B724" t="s">
        <v>21</v>
      </c>
      <c r="C724" t="s">
        <v>50</v>
      </c>
      <c r="D724" t="s">
        <v>37</v>
      </c>
      <c r="E724" t="s">
        <v>29</v>
      </c>
      <c r="F724">
        <v>74</v>
      </c>
      <c r="G724">
        <v>90</v>
      </c>
      <c r="H724">
        <v>88</v>
      </c>
      <c r="J724">
        <v>74</v>
      </c>
      <c r="K724">
        <v>8.6023252669999994</v>
      </c>
      <c r="L724">
        <v>74</v>
      </c>
      <c r="M724">
        <v>90</v>
      </c>
      <c r="N724">
        <v>252</v>
      </c>
      <c r="O724">
        <v>84</v>
      </c>
      <c r="P724">
        <v>81</v>
      </c>
      <c r="Q724">
        <v>2</v>
      </c>
      <c r="R724">
        <v>9.17</v>
      </c>
      <c r="S724" t="s">
        <v>30</v>
      </c>
      <c r="T724" t="s">
        <v>42</v>
      </c>
      <c r="U724">
        <v>16</v>
      </c>
    </row>
    <row r="725" spans="1:21" x14ac:dyDescent="0.25">
      <c r="A725" t="s">
        <v>34</v>
      </c>
      <c r="B725" t="s">
        <v>27</v>
      </c>
      <c r="C725" t="s">
        <v>40</v>
      </c>
      <c r="D725" t="s">
        <v>23</v>
      </c>
      <c r="E725" t="s">
        <v>24</v>
      </c>
      <c r="F725">
        <v>50</v>
      </c>
      <c r="G725">
        <v>48</v>
      </c>
      <c r="H725">
        <v>42</v>
      </c>
      <c r="J725">
        <v>50</v>
      </c>
      <c r="K725">
        <v>7.0710678119999999</v>
      </c>
      <c r="L725">
        <v>42</v>
      </c>
      <c r="M725">
        <v>50</v>
      </c>
      <c r="N725">
        <v>140</v>
      </c>
      <c r="O725">
        <v>46.666666669999998</v>
      </c>
      <c r="P725">
        <v>49</v>
      </c>
      <c r="Q725">
        <v>4</v>
      </c>
      <c r="R725">
        <v>6.83</v>
      </c>
      <c r="S725" t="s">
        <v>41</v>
      </c>
      <c r="T725" t="s">
        <v>42</v>
      </c>
      <c r="U725">
        <v>11</v>
      </c>
    </row>
    <row r="726" spans="1:21" x14ac:dyDescent="0.25">
      <c r="A726" t="s">
        <v>34</v>
      </c>
      <c r="B726" t="s">
        <v>21</v>
      </c>
      <c r="C726" t="s">
        <v>28</v>
      </c>
      <c r="D726" t="s">
        <v>23</v>
      </c>
      <c r="E726" t="s">
        <v>24</v>
      </c>
      <c r="F726">
        <v>47</v>
      </c>
      <c r="G726">
        <v>43</v>
      </c>
      <c r="H726">
        <v>41</v>
      </c>
      <c r="J726">
        <v>47</v>
      </c>
      <c r="K726">
        <v>6.8556546000000003</v>
      </c>
      <c r="L726">
        <v>41</v>
      </c>
      <c r="M726">
        <v>47</v>
      </c>
      <c r="N726">
        <v>131</v>
      </c>
      <c r="O726">
        <v>43.666666669999998</v>
      </c>
      <c r="P726">
        <v>45</v>
      </c>
      <c r="Q726">
        <v>4</v>
      </c>
      <c r="R726">
        <v>6.61</v>
      </c>
      <c r="S726" t="s">
        <v>30</v>
      </c>
      <c r="T726" t="s">
        <v>31</v>
      </c>
      <c r="U726">
        <v>12</v>
      </c>
    </row>
    <row r="727" spans="1:21" x14ac:dyDescent="0.25">
      <c r="A727" t="s">
        <v>34</v>
      </c>
      <c r="B727" t="s">
        <v>64</v>
      </c>
      <c r="C727" t="s">
        <v>28</v>
      </c>
      <c r="D727" t="s">
        <v>23</v>
      </c>
      <c r="E727" t="s">
        <v>29</v>
      </c>
      <c r="F727">
        <v>81</v>
      </c>
      <c r="G727">
        <v>74</v>
      </c>
      <c r="H727">
        <v>71</v>
      </c>
      <c r="J727">
        <v>81</v>
      </c>
      <c r="K727">
        <v>9</v>
      </c>
      <c r="L727">
        <v>71</v>
      </c>
      <c r="M727">
        <v>81</v>
      </c>
      <c r="N727">
        <v>226</v>
      </c>
      <c r="O727">
        <v>75.333333330000002</v>
      </c>
      <c r="P727">
        <v>77.5</v>
      </c>
      <c r="Q727">
        <v>4</v>
      </c>
      <c r="R727">
        <v>8.68</v>
      </c>
      <c r="S727" t="s">
        <v>30</v>
      </c>
      <c r="T727" t="s">
        <v>31</v>
      </c>
      <c r="U727">
        <v>12</v>
      </c>
    </row>
    <row r="728" spans="1:21" x14ac:dyDescent="0.25">
      <c r="A728" t="s">
        <v>20</v>
      </c>
      <c r="B728" t="s">
        <v>64</v>
      </c>
      <c r="C728" t="s">
        <v>36</v>
      </c>
      <c r="D728" t="s">
        <v>23</v>
      </c>
      <c r="E728" t="s">
        <v>29</v>
      </c>
      <c r="F728">
        <v>65</v>
      </c>
      <c r="G728">
        <v>75</v>
      </c>
      <c r="H728">
        <v>77</v>
      </c>
      <c r="J728">
        <v>65</v>
      </c>
      <c r="K728">
        <v>8.0622577480000004</v>
      </c>
      <c r="L728">
        <v>65</v>
      </c>
      <c r="M728">
        <v>77</v>
      </c>
      <c r="N728">
        <v>217</v>
      </c>
      <c r="O728">
        <v>72.333333330000002</v>
      </c>
      <c r="P728">
        <v>70</v>
      </c>
      <c r="Q728">
        <v>1</v>
      </c>
      <c r="R728">
        <v>8.5</v>
      </c>
      <c r="S728" t="s">
        <v>38</v>
      </c>
      <c r="T728" t="s">
        <v>26</v>
      </c>
      <c r="U728">
        <v>18</v>
      </c>
    </row>
    <row r="729" spans="1:21" x14ac:dyDescent="0.25">
      <c r="A729" t="s">
        <v>34</v>
      </c>
      <c r="B729" t="s">
        <v>64</v>
      </c>
      <c r="C729" t="s">
        <v>50</v>
      </c>
      <c r="D729" t="s">
        <v>23</v>
      </c>
      <c r="E729" t="s">
        <v>29</v>
      </c>
      <c r="F729">
        <v>68</v>
      </c>
      <c r="G729">
        <v>51</v>
      </c>
      <c r="H729">
        <v>57</v>
      </c>
      <c r="J729">
        <v>68</v>
      </c>
      <c r="K729">
        <v>8.2462112510000001</v>
      </c>
      <c r="L729">
        <v>51</v>
      </c>
      <c r="M729">
        <v>68</v>
      </c>
      <c r="N729">
        <v>176</v>
      </c>
      <c r="O729">
        <v>58.666666669999998</v>
      </c>
      <c r="P729">
        <v>62.5</v>
      </c>
      <c r="Q729">
        <v>3</v>
      </c>
      <c r="R729">
        <v>7.66</v>
      </c>
      <c r="S729" t="s">
        <v>30</v>
      </c>
      <c r="T729" t="s">
        <v>42</v>
      </c>
      <c r="U729">
        <v>16</v>
      </c>
    </row>
    <row r="730" spans="1:21" x14ac:dyDescent="0.25">
      <c r="A730" t="s">
        <v>20</v>
      </c>
      <c r="B730" t="s">
        <v>39</v>
      </c>
      <c r="C730" t="s">
        <v>40</v>
      </c>
      <c r="D730" t="s">
        <v>37</v>
      </c>
      <c r="E730" t="s">
        <v>24</v>
      </c>
      <c r="F730">
        <v>73</v>
      </c>
      <c r="G730">
        <v>92</v>
      </c>
      <c r="H730">
        <v>84</v>
      </c>
      <c r="J730">
        <v>73</v>
      </c>
      <c r="K730">
        <v>8.5440037449999995</v>
      </c>
      <c r="L730">
        <v>73</v>
      </c>
      <c r="M730">
        <v>92</v>
      </c>
      <c r="N730">
        <v>249</v>
      </c>
      <c r="O730">
        <v>83</v>
      </c>
      <c r="P730">
        <v>78.5</v>
      </c>
      <c r="Q730">
        <v>2</v>
      </c>
      <c r="R730">
        <v>9.11</v>
      </c>
      <c r="S730" t="s">
        <v>41</v>
      </c>
      <c r="T730" t="s">
        <v>42</v>
      </c>
      <c r="U730">
        <v>11</v>
      </c>
    </row>
    <row r="731" spans="1:21" x14ac:dyDescent="0.25">
      <c r="A731" t="s">
        <v>34</v>
      </c>
      <c r="B731" t="s">
        <v>27</v>
      </c>
      <c r="C731" t="s">
        <v>28</v>
      </c>
      <c r="D731" t="s">
        <v>23</v>
      </c>
      <c r="E731" t="s">
        <v>24</v>
      </c>
      <c r="F731">
        <v>53</v>
      </c>
      <c r="G731">
        <v>39</v>
      </c>
      <c r="H731">
        <v>37</v>
      </c>
      <c r="J731">
        <v>53</v>
      </c>
      <c r="K731">
        <v>7.2801098890000002</v>
      </c>
      <c r="L731">
        <v>37</v>
      </c>
      <c r="M731">
        <v>53</v>
      </c>
      <c r="N731">
        <v>129</v>
      </c>
      <c r="O731">
        <v>43</v>
      </c>
      <c r="P731">
        <v>46</v>
      </c>
      <c r="Q731">
        <v>4</v>
      </c>
      <c r="R731">
        <v>6.56</v>
      </c>
      <c r="S731" t="s">
        <v>30</v>
      </c>
      <c r="T731" t="s">
        <v>31</v>
      </c>
      <c r="U731">
        <v>12</v>
      </c>
    </row>
    <row r="732" spans="1:21" x14ac:dyDescent="0.25">
      <c r="A732" t="s">
        <v>20</v>
      </c>
      <c r="B732" t="s">
        <v>21</v>
      </c>
      <c r="C732" t="s">
        <v>36</v>
      </c>
      <c r="D732" t="s">
        <v>37</v>
      </c>
      <c r="E732" t="s">
        <v>29</v>
      </c>
      <c r="F732">
        <v>68</v>
      </c>
      <c r="G732">
        <v>77</v>
      </c>
      <c r="H732">
        <v>80</v>
      </c>
      <c r="J732">
        <v>68</v>
      </c>
      <c r="K732">
        <v>8.2462112510000001</v>
      </c>
      <c r="L732">
        <v>68</v>
      </c>
      <c r="M732">
        <v>80</v>
      </c>
      <c r="N732">
        <v>225</v>
      </c>
      <c r="O732">
        <v>75</v>
      </c>
      <c r="P732">
        <v>72.5</v>
      </c>
      <c r="Q732">
        <v>1</v>
      </c>
      <c r="R732">
        <v>8.66</v>
      </c>
      <c r="S732" t="s">
        <v>38</v>
      </c>
      <c r="T732" t="s">
        <v>26</v>
      </c>
      <c r="U732">
        <v>18</v>
      </c>
    </row>
    <row r="733" spans="1:21" x14ac:dyDescent="0.25">
      <c r="A733" t="s">
        <v>34</v>
      </c>
      <c r="B733" t="s">
        <v>35</v>
      </c>
      <c r="C733" t="s">
        <v>50</v>
      </c>
      <c r="D733" t="s">
        <v>37</v>
      </c>
      <c r="E733" t="s">
        <v>24</v>
      </c>
      <c r="F733">
        <v>55</v>
      </c>
      <c r="G733">
        <v>46</v>
      </c>
      <c r="H733">
        <v>43</v>
      </c>
      <c r="J733">
        <v>55</v>
      </c>
      <c r="K733">
        <v>7.416198487</v>
      </c>
      <c r="L733">
        <v>43</v>
      </c>
      <c r="M733">
        <v>55</v>
      </c>
      <c r="N733">
        <v>144</v>
      </c>
      <c r="O733">
        <v>48</v>
      </c>
      <c r="P733">
        <v>50.5</v>
      </c>
      <c r="Q733">
        <v>4</v>
      </c>
      <c r="R733">
        <v>6.93</v>
      </c>
      <c r="S733" t="s">
        <v>30</v>
      </c>
      <c r="T733" t="s">
        <v>42</v>
      </c>
      <c r="U733">
        <v>16</v>
      </c>
    </row>
    <row r="734" spans="1:21" x14ac:dyDescent="0.25">
      <c r="A734" t="s">
        <v>20</v>
      </c>
      <c r="B734" t="s">
        <v>27</v>
      </c>
      <c r="C734" t="s">
        <v>28</v>
      </c>
      <c r="D734" t="s">
        <v>23</v>
      </c>
      <c r="E734" t="s">
        <v>29</v>
      </c>
      <c r="F734">
        <v>87</v>
      </c>
      <c r="G734">
        <v>89</v>
      </c>
      <c r="H734">
        <v>94</v>
      </c>
      <c r="J734">
        <v>87</v>
      </c>
      <c r="K734">
        <v>9.3273790529999996</v>
      </c>
      <c r="L734">
        <v>87</v>
      </c>
      <c r="M734">
        <v>94</v>
      </c>
      <c r="N734">
        <v>270</v>
      </c>
      <c r="O734">
        <v>90</v>
      </c>
      <c r="P734">
        <v>88</v>
      </c>
      <c r="Q734">
        <v>1</v>
      </c>
      <c r="R734">
        <v>9.49</v>
      </c>
      <c r="S734" t="s">
        <v>30</v>
      </c>
      <c r="T734" t="s">
        <v>31</v>
      </c>
      <c r="U734">
        <v>12</v>
      </c>
    </row>
    <row r="735" spans="1:21" x14ac:dyDescent="0.25">
      <c r="A735" t="s">
        <v>34</v>
      </c>
      <c r="B735" t="s">
        <v>39</v>
      </c>
      <c r="C735" t="s">
        <v>50</v>
      </c>
      <c r="D735" t="s">
        <v>23</v>
      </c>
      <c r="E735" t="s">
        <v>24</v>
      </c>
      <c r="F735">
        <v>55</v>
      </c>
      <c r="G735">
        <v>47</v>
      </c>
      <c r="H735">
        <v>44</v>
      </c>
      <c r="J735">
        <v>55</v>
      </c>
      <c r="K735">
        <v>7.416198487</v>
      </c>
      <c r="L735">
        <v>44</v>
      </c>
      <c r="M735">
        <v>55</v>
      </c>
      <c r="N735">
        <v>146</v>
      </c>
      <c r="O735">
        <v>48.666666669999998</v>
      </c>
      <c r="P735">
        <v>51</v>
      </c>
      <c r="Q735">
        <v>4</v>
      </c>
      <c r="R735">
        <v>6.98</v>
      </c>
      <c r="S735" t="s">
        <v>30</v>
      </c>
      <c r="T735" t="s">
        <v>42</v>
      </c>
      <c r="U735">
        <v>16</v>
      </c>
    </row>
    <row r="736" spans="1:21" x14ac:dyDescent="0.25">
      <c r="A736" t="s">
        <v>20</v>
      </c>
      <c r="B736" t="s">
        <v>64</v>
      </c>
      <c r="C736" t="s">
        <v>28</v>
      </c>
      <c r="D736" t="s">
        <v>37</v>
      </c>
      <c r="E736" t="s">
        <v>24</v>
      </c>
      <c r="F736">
        <v>53</v>
      </c>
      <c r="G736">
        <v>58</v>
      </c>
      <c r="H736">
        <v>57</v>
      </c>
      <c r="J736">
        <v>53</v>
      </c>
      <c r="K736">
        <v>7.2801098890000002</v>
      </c>
      <c r="L736">
        <v>53</v>
      </c>
      <c r="M736">
        <v>58</v>
      </c>
      <c r="N736">
        <v>168</v>
      </c>
      <c r="O736">
        <v>56</v>
      </c>
      <c r="P736">
        <v>55</v>
      </c>
      <c r="Q736">
        <v>2</v>
      </c>
      <c r="R736">
        <v>7.48</v>
      </c>
      <c r="S736" t="s">
        <v>30</v>
      </c>
      <c r="T736" t="s">
        <v>31</v>
      </c>
      <c r="U736">
        <v>12</v>
      </c>
    </row>
    <row r="737" spans="1:21" x14ac:dyDescent="0.25">
      <c r="A737" t="s">
        <v>34</v>
      </c>
      <c r="B737" t="s">
        <v>27</v>
      </c>
      <c r="C737" t="s">
        <v>32</v>
      </c>
      <c r="D737" t="s">
        <v>23</v>
      </c>
      <c r="E737" t="s">
        <v>24</v>
      </c>
      <c r="F737">
        <v>67</v>
      </c>
      <c r="G737">
        <v>57</v>
      </c>
      <c r="H737">
        <v>59</v>
      </c>
      <c r="J737">
        <v>67</v>
      </c>
      <c r="K737">
        <v>8.1853527719999999</v>
      </c>
      <c r="L737">
        <v>57</v>
      </c>
      <c r="M737">
        <v>67</v>
      </c>
      <c r="N737">
        <v>183</v>
      </c>
      <c r="O737">
        <v>61</v>
      </c>
      <c r="P737">
        <v>63</v>
      </c>
      <c r="Q737">
        <v>3</v>
      </c>
      <c r="R737">
        <v>7.81</v>
      </c>
      <c r="S737" t="s">
        <v>33</v>
      </c>
      <c r="T737" t="s">
        <v>26</v>
      </c>
      <c r="U737">
        <v>15</v>
      </c>
    </row>
    <row r="738" spans="1:21" x14ac:dyDescent="0.25">
      <c r="A738" t="s">
        <v>34</v>
      </c>
      <c r="B738" t="s">
        <v>27</v>
      </c>
      <c r="C738" t="s">
        <v>36</v>
      </c>
      <c r="D738" t="s">
        <v>23</v>
      </c>
      <c r="E738" t="s">
        <v>24</v>
      </c>
      <c r="F738">
        <v>92</v>
      </c>
      <c r="G738">
        <v>79</v>
      </c>
      <c r="H738">
        <v>84</v>
      </c>
      <c r="J738">
        <v>92</v>
      </c>
      <c r="K738">
        <v>9.5916630470000008</v>
      </c>
      <c r="L738">
        <v>79</v>
      </c>
      <c r="M738">
        <v>92</v>
      </c>
      <c r="N738">
        <v>255</v>
      </c>
      <c r="O738">
        <v>85</v>
      </c>
      <c r="P738">
        <v>88</v>
      </c>
      <c r="Q738">
        <v>3</v>
      </c>
      <c r="R738">
        <v>9.2200000000000006</v>
      </c>
      <c r="S738" t="s">
        <v>38</v>
      </c>
      <c r="T738" t="s">
        <v>26</v>
      </c>
      <c r="U738">
        <v>18</v>
      </c>
    </row>
    <row r="739" spans="1:21" x14ac:dyDescent="0.25">
      <c r="A739" t="s">
        <v>20</v>
      </c>
      <c r="B739" t="s">
        <v>21</v>
      </c>
      <c r="C739" t="s">
        <v>28</v>
      </c>
      <c r="D739" t="s">
        <v>37</v>
      </c>
      <c r="E739" t="s">
        <v>29</v>
      </c>
      <c r="F739">
        <v>53</v>
      </c>
      <c r="G739">
        <v>66</v>
      </c>
      <c r="H739">
        <v>73</v>
      </c>
      <c r="J739">
        <v>53</v>
      </c>
      <c r="K739">
        <v>7.2801098890000002</v>
      </c>
      <c r="L739">
        <v>53</v>
      </c>
      <c r="M739">
        <v>73</v>
      </c>
      <c r="N739">
        <v>192</v>
      </c>
      <c r="O739">
        <v>64</v>
      </c>
      <c r="P739">
        <v>59.5</v>
      </c>
      <c r="Q739">
        <v>1</v>
      </c>
      <c r="R739">
        <v>8</v>
      </c>
      <c r="S739" t="s">
        <v>30</v>
      </c>
      <c r="T739" t="s">
        <v>31</v>
      </c>
      <c r="U739">
        <v>12</v>
      </c>
    </row>
    <row r="740" spans="1:21" x14ac:dyDescent="0.25">
      <c r="A740" t="s">
        <v>34</v>
      </c>
      <c r="B740" t="s">
        <v>39</v>
      </c>
      <c r="C740" t="s">
        <v>36</v>
      </c>
      <c r="D740" t="s">
        <v>23</v>
      </c>
      <c r="E740" t="s">
        <v>24</v>
      </c>
      <c r="F740">
        <v>81</v>
      </c>
      <c r="G740">
        <v>71</v>
      </c>
      <c r="H740">
        <v>73</v>
      </c>
      <c r="J740">
        <v>81</v>
      </c>
      <c r="K740">
        <v>9</v>
      </c>
      <c r="L740">
        <v>71</v>
      </c>
      <c r="M740">
        <v>81</v>
      </c>
      <c r="N740">
        <v>225</v>
      </c>
      <c r="O740">
        <v>75</v>
      </c>
      <c r="P740">
        <v>77</v>
      </c>
      <c r="Q740">
        <v>3</v>
      </c>
      <c r="R740">
        <v>8.66</v>
      </c>
      <c r="S740" t="s">
        <v>38</v>
      </c>
      <c r="T740" t="s">
        <v>26</v>
      </c>
      <c r="U740">
        <v>18</v>
      </c>
    </row>
    <row r="741" spans="1:21" x14ac:dyDescent="0.25">
      <c r="A741" t="s">
        <v>34</v>
      </c>
      <c r="B741" t="s">
        <v>27</v>
      </c>
      <c r="C741" t="s">
        <v>40</v>
      </c>
      <c r="D741" t="s">
        <v>37</v>
      </c>
      <c r="E741" t="s">
        <v>24</v>
      </c>
      <c r="F741">
        <v>61</v>
      </c>
      <c r="G741">
        <v>60</v>
      </c>
      <c r="H741">
        <v>55</v>
      </c>
      <c r="J741">
        <v>61</v>
      </c>
      <c r="K741">
        <v>7.8102496759999998</v>
      </c>
      <c r="L741">
        <v>55</v>
      </c>
      <c r="M741">
        <v>61</v>
      </c>
      <c r="N741">
        <v>176</v>
      </c>
      <c r="O741">
        <v>58.666666669999998</v>
      </c>
      <c r="P741">
        <v>60.5</v>
      </c>
      <c r="Q741">
        <v>4</v>
      </c>
      <c r="R741">
        <v>7.66</v>
      </c>
      <c r="S741" t="s">
        <v>41</v>
      </c>
      <c r="T741" t="s">
        <v>42</v>
      </c>
      <c r="U741">
        <v>11</v>
      </c>
    </row>
    <row r="742" spans="1:21" x14ac:dyDescent="0.25">
      <c r="A742" t="s">
        <v>34</v>
      </c>
      <c r="B742" t="s">
        <v>39</v>
      </c>
      <c r="C742" t="s">
        <v>22</v>
      </c>
      <c r="D742" t="s">
        <v>23</v>
      </c>
      <c r="E742" t="s">
        <v>24</v>
      </c>
      <c r="F742">
        <v>80</v>
      </c>
      <c r="G742">
        <v>73</v>
      </c>
      <c r="H742">
        <v>72</v>
      </c>
      <c r="J742">
        <v>80</v>
      </c>
      <c r="K742">
        <v>8.9442719099999994</v>
      </c>
      <c r="L742">
        <v>72</v>
      </c>
      <c r="M742">
        <v>80</v>
      </c>
      <c r="N742">
        <v>225</v>
      </c>
      <c r="O742">
        <v>75</v>
      </c>
      <c r="P742">
        <v>76.5</v>
      </c>
      <c r="Q742">
        <v>4</v>
      </c>
      <c r="R742">
        <v>8.66</v>
      </c>
      <c r="S742" t="s">
        <v>25</v>
      </c>
      <c r="T742" t="s">
        <v>26</v>
      </c>
      <c r="U742">
        <v>17</v>
      </c>
    </row>
    <row r="743" spans="1:21" x14ac:dyDescent="0.25">
      <c r="A743" t="s">
        <v>20</v>
      </c>
      <c r="B743" t="s">
        <v>35</v>
      </c>
      <c r="C743" t="s">
        <v>36</v>
      </c>
      <c r="D743" t="s">
        <v>37</v>
      </c>
      <c r="E743" t="s">
        <v>24</v>
      </c>
      <c r="F743">
        <v>37</v>
      </c>
      <c r="G743">
        <v>57</v>
      </c>
      <c r="H743">
        <v>56</v>
      </c>
      <c r="J743">
        <v>37</v>
      </c>
      <c r="K743">
        <v>6.0827625300000001</v>
      </c>
      <c r="L743">
        <v>37</v>
      </c>
      <c r="M743">
        <v>57</v>
      </c>
      <c r="N743">
        <v>150</v>
      </c>
      <c r="O743">
        <v>50</v>
      </c>
      <c r="P743">
        <v>46.5</v>
      </c>
      <c r="Q743">
        <v>2</v>
      </c>
      <c r="R743">
        <v>7.07</v>
      </c>
      <c r="S743" t="s">
        <v>38</v>
      </c>
      <c r="T743" t="s">
        <v>26</v>
      </c>
      <c r="U743">
        <v>18</v>
      </c>
    </row>
    <row r="744" spans="1:21" x14ac:dyDescent="0.25">
      <c r="A744" t="s">
        <v>20</v>
      </c>
      <c r="B744" t="s">
        <v>27</v>
      </c>
      <c r="C744" t="s">
        <v>40</v>
      </c>
      <c r="D744" t="s">
        <v>23</v>
      </c>
      <c r="E744" t="s">
        <v>24</v>
      </c>
      <c r="F744">
        <v>81</v>
      </c>
      <c r="G744">
        <v>84</v>
      </c>
      <c r="H744">
        <v>82</v>
      </c>
      <c r="J744">
        <v>81</v>
      </c>
      <c r="K744">
        <v>9</v>
      </c>
      <c r="L744">
        <v>81</v>
      </c>
      <c r="M744">
        <v>84</v>
      </c>
      <c r="N744">
        <v>247</v>
      </c>
      <c r="O744">
        <v>82.333333330000002</v>
      </c>
      <c r="P744">
        <v>81.5</v>
      </c>
      <c r="Q744">
        <v>2</v>
      </c>
      <c r="R744">
        <v>9.07</v>
      </c>
      <c r="S744" t="s">
        <v>41</v>
      </c>
      <c r="T744" t="s">
        <v>42</v>
      </c>
      <c r="U744">
        <v>11</v>
      </c>
    </row>
    <row r="745" spans="1:21" x14ac:dyDescent="0.25">
      <c r="A745" t="s">
        <v>20</v>
      </c>
      <c r="B745" t="s">
        <v>27</v>
      </c>
      <c r="C745" t="s">
        <v>36</v>
      </c>
      <c r="D745" t="s">
        <v>23</v>
      </c>
      <c r="E745" t="s">
        <v>29</v>
      </c>
      <c r="F745">
        <v>59</v>
      </c>
      <c r="G745">
        <v>73</v>
      </c>
      <c r="H745">
        <v>72</v>
      </c>
      <c r="J745">
        <v>59</v>
      </c>
      <c r="K745">
        <v>7.6811457479999996</v>
      </c>
      <c r="L745">
        <v>59</v>
      </c>
      <c r="M745">
        <v>73</v>
      </c>
      <c r="N745">
        <v>204</v>
      </c>
      <c r="O745">
        <v>68</v>
      </c>
      <c r="P745">
        <v>65.5</v>
      </c>
      <c r="Q745">
        <v>2</v>
      </c>
      <c r="R745">
        <v>8.25</v>
      </c>
      <c r="S745" t="s">
        <v>38</v>
      </c>
      <c r="T745" t="s">
        <v>26</v>
      </c>
      <c r="U745">
        <v>18</v>
      </c>
    </row>
    <row r="746" spans="1:21" x14ac:dyDescent="0.25">
      <c r="A746" t="s">
        <v>34</v>
      </c>
      <c r="B746" t="s">
        <v>21</v>
      </c>
      <c r="C746" t="s">
        <v>28</v>
      </c>
      <c r="D746" t="s">
        <v>37</v>
      </c>
      <c r="E746" t="s">
        <v>24</v>
      </c>
      <c r="F746">
        <v>55</v>
      </c>
      <c r="G746">
        <v>55</v>
      </c>
      <c r="H746">
        <v>47</v>
      </c>
      <c r="J746">
        <v>55</v>
      </c>
      <c r="K746">
        <v>7.416198487</v>
      </c>
      <c r="L746">
        <v>47</v>
      </c>
      <c r="M746">
        <v>55</v>
      </c>
      <c r="N746">
        <v>157</v>
      </c>
      <c r="O746">
        <v>52.333333330000002</v>
      </c>
      <c r="P746">
        <v>55</v>
      </c>
      <c r="Q746">
        <v>4</v>
      </c>
      <c r="R746">
        <v>7.23</v>
      </c>
      <c r="S746" t="s">
        <v>30</v>
      </c>
      <c r="T746" t="s">
        <v>31</v>
      </c>
      <c r="U746">
        <v>12</v>
      </c>
    </row>
    <row r="747" spans="1:21" x14ac:dyDescent="0.25">
      <c r="A747" t="s">
        <v>34</v>
      </c>
      <c r="B747" t="s">
        <v>39</v>
      </c>
      <c r="C747" t="s">
        <v>36</v>
      </c>
      <c r="D747" t="s">
        <v>23</v>
      </c>
      <c r="E747" t="s">
        <v>24</v>
      </c>
      <c r="F747">
        <v>72</v>
      </c>
      <c r="G747">
        <v>79</v>
      </c>
      <c r="H747">
        <v>74</v>
      </c>
      <c r="J747">
        <v>72</v>
      </c>
      <c r="K747">
        <v>8.4852813739999995</v>
      </c>
      <c r="L747">
        <v>72</v>
      </c>
      <c r="M747">
        <v>79</v>
      </c>
      <c r="N747">
        <v>225</v>
      </c>
      <c r="O747">
        <v>75</v>
      </c>
      <c r="P747">
        <v>73</v>
      </c>
      <c r="Q747">
        <v>2</v>
      </c>
      <c r="R747">
        <v>8.66</v>
      </c>
      <c r="S747" t="s">
        <v>38</v>
      </c>
      <c r="T747" t="s">
        <v>26</v>
      </c>
      <c r="U747">
        <v>18</v>
      </c>
    </row>
    <row r="748" spans="1:21" x14ac:dyDescent="0.25">
      <c r="A748" t="s">
        <v>34</v>
      </c>
      <c r="B748" t="s">
        <v>39</v>
      </c>
      <c r="C748" t="s">
        <v>40</v>
      </c>
      <c r="D748" t="s">
        <v>23</v>
      </c>
      <c r="E748" t="s">
        <v>24</v>
      </c>
      <c r="F748">
        <v>69</v>
      </c>
      <c r="G748">
        <v>75</v>
      </c>
      <c r="H748">
        <v>71</v>
      </c>
      <c r="J748">
        <v>69</v>
      </c>
      <c r="K748">
        <v>8.3066238630000004</v>
      </c>
      <c r="L748">
        <v>69</v>
      </c>
      <c r="M748">
        <v>75</v>
      </c>
      <c r="N748">
        <v>215</v>
      </c>
      <c r="O748">
        <v>71.666666669999998</v>
      </c>
      <c r="P748">
        <v>70</v>
      </c>
      <c r="Q748">
        <v>2</v>
      </c>
      <c r="R748">
        <v>8.4700000000000006</v>
      </c>
      <c r="S748" t="s">
        <v>41</v>
      </c>
      <c r="T748" t="s">
        <v>42</v>
      </c>
      <c r="U748">
        <v>11</v>
      </c>
    </row>
    <row r="749" spans="1:21" x14ac:dyDescent="0.25">
      <c r="A749" t="s">
        <v>34</v>
      </c>
      <c r="B749" t="s">
        <v>27</v>
      </c>
      <c r="C749" t="s">
        <v>28</v>
      </c>
      <c r="D749" t="s">
        <v>23</v>
      </c>
      <c r="E749" t="s">
        <v>24</v>
      </c>
      <c r="F749">
        <v>69</v>
      </c>
      <c r="G749">
        <v>64</v>
      </c>
      <c r="H749">
        <v>68</v>
      </c>
      <c r="J749">
        <v>69</v>
      </c>
      <c r="K749">
        <v>8.3066238630000004</v>
      </c>
      <c r="L749">
        <v>64</v>
      </c>
      <c r="M749">
        <v>69</v>
      </c>
      <c r="N749">
        <v>201</v>
      </c>
      <c r="O749">
        <v>67</v>
      </c>
      <c r="P749">
        <v>68.5</v>
      </c>
      <c r="Q749">
        <v>3</v>
      </c>
      <c r="R749">
        <v>8.19</v>
      </c>
      <c r="S749" t="s">
        <v>30</v>
      </c>
      <c r="T749" t="s">
        <v>31</v>
      </c>
      <c r="U749">
        <v>12</v>
      </c>
    </row>
    <row r="750" spans="1:21" x14ac:dyDescent="0.25">
      <c r="A750" t="s">
        <v>20</v>
      </c>
      <c r="B750" t="s">
        <v>27</v>
      </c>
      <c r="C750" t="s">
        <v>22</v>
      </c>
      <c r="D750" t="s">
        <v>37</v>
      </c>
      <c r="E750" t="s">
        <v>24</v>
      </c>
      <c r="F750">
        <v>50</v>
      </c>
      <c r="G750">
        <v>60</v>
      </c>
      <c r="H750">
        <v>59</v>
      </c>
      <c r="J750">
        <v>50</v>
      </c>
      <c r="K750">
        <v>7.0710678119999999</v>
      </c>
      <c r="L750">
        <v>50</v>
      </c>
      <c r="M750">
        <v>60</v>
      </c>
      <c r="N750">
        <v>169</v>
      </c>
      <c r="O750">
        <v>56.333333330000002</v>
      </c>
      <c r="P750">
        <v>54.5</v>
      </c>
      <c r="Q750">
        <v>2</v>
      </c>
      <c r="R750">
        <v>7.51</v>
      </c>
      <c r="S750" t="s">
        <v>25</v>
      </c>
      <c r="T750" t="s">
        <v>26</v>
      </c>
      <c r="U750">
        <v>17</v>
      </c>
    </row>
    <row r="751" spans="1:21" x14ac:dyDescent="0.25">
      <c r="A751" t="s">
        <v>34</v>
      </c>
      <c r="B751" t="s">
        <v>21</v>
      </c>
      <c r="C751" t="s">
        <v>28</v>
      </c>
      <c r="D751" t="s">
        <v>23</v>
      </c>
      <c r="E751" t="s">
        <v>29</v>
      </c>
      <c r="F751">
        <v>87</v>
      </c>
      <c r="G751">
        <v>84</v>
      </c>
      <c r="H751">
        <v>86</v>
      </c>
      <c r="J751">
        <v>87</v>
      </c>
      <c r="K751">
        <v>9.3273790529999996</v>
      </c>
      <c r="L751">
        <v>84</v>
      </c>
      <c r="M751">
        <v>87</v>
      </c>
      <c r="N751">
        <v>257</v>
      </c>
      <c r="O751">
        <v>85.666666669999998</v>
      </c>
      <c r="P751">
        <v>86.5</v>
      </c>
      <c r="Q751">
        <v>3</v>
      </c>
      <c r="R751">
        <v>9.26</v>
      </c>
      <c r="S751" t="s">
        <v>30</v>
      </c>
      <c r="T751" t="s">
        <v>31</v>
      </c>
      <c r="U751">
        <v>12</v>
      </c>
    </row>
    <row r="752" spans="1:21" x14ac:dyDescent="0.25">
      <c r="A752" t="s">
        <v>34</v>
      </c>
      <c r="B752" t="s">
        <v>39</v>
      </c>
      <c r="C752" t="s">
        <v>50</v>
      </c>
      <c r="D752" t="s">
        <v>23</v>
      </c>
      <c r="E752" t="s">
        <v>29</v>
      </c>
      <c r="F752">
        <v>71</v>
      </c>
      <c r="G752">
        <v>69</v>
      </c>
      <c r="H752">
        <v>68</v>
      </c>
      <c r="J752">
        <v>71</v>
      </c>
      <c r="K752">
        <v>8.4261497730000006</v>
      </c>
      <c r="L752">
        <v>68</v>
      </c>
      <c r="M752">
        <v>71</v>
      </c>
      <c r="N752">
        <v>208</v>
      </c>
      <c r="O752">
        <v>69.333333330000002</v>
      </c>
      <c r="P752">
        <v>70</v>
      </c>
      <c r="Q752">
        <v>4</v>
      </c>
      <c r="R752">
        <v>8.33</v>
      </c>
      <c r="S752" t="s">
        <v>30</v>
      </c>
      <c r="T752" t="s">
        <v>42</v>
      </c>
      <c r="U752">
        <v>16</v>
      </c>
    </row>
    <row r="753" spans="1:21" x14ac:dyDescent="0.25">
      <c r="A753" t="s">
        <v>34</v>
      </c>
      <c r="B753" t="s">
        <v>64</v>
      </c>
      <c r="C753" t="s">
        <v>28</v>
      </c>
      <c r="D753" t="s">
        <v>23</v>
      </c>
      <c r="E753" t="s">
        <v>24</v>
      </c>
      <c r="F753">
        <v>68</v>
      </c>
      <c r="G753">
        <v>72</v>
      </c>
      <c r="H753">
        <v>65</v>
      </c>
      <c r="J753">
        <v>68</v>
      </c>
      <c r="K753">
        <v>8.2462112510000001</v>
      </c>
      <c r="L753">
        <v>65</v>
      </c>
      <c r="M753">
        <v>72</v>
      </c>
      <c r="N753">
        <v>205</v>
      </c>
      <c r="O753">
        <v>68.333333330000002</v>
      </c>
      <c r="P753">
        <v>68</v>
      </c>
      <c r="Q753">
        <v>4</v>
      </c>
      <c r="R753">
        <v>8.27</v>
      </c>
      <c r="S753" t="s">
        <v>30</v>
      </c>
      <c r="T753" t="s">
        <v>31</v>
      </c>
      <c r="U753">
        <v>12</v>
      </c>
    </row>
    <row r="754" spans="1:21" x14ac:dyDescent="0.25">
      <c r="A754" t="s">
        <v>34</v>
      </c>
      <c r="B754" t="s">
        <v>27</v>
      </c>
      <c r="C754" t="s">
        <v>32</v>
      </c>
      <c r="D754" t="s">
        <v>37</v>
      </c>
      <c r="E754" t="s">
        <v>29</v>
      </c>
      <c r="F754">
        <v>79</v>
      </c>
      <c r="G754">
        <v>77</v>
      </c>
      <c r="H754">
        <v>75</v>
      </c>
      <c r="J754">
        <v>79</v>
      </c>
      <c r="K754">
        <v>8.8881944169999993</v>
      </c>
      <c r="L754">
        <v>75</v>
      </c>
      <c r="M754">
        <v>79</v>
      </c>
      <c r="N754">
        <v>231</v>
      </c>
      <c r="O754">
        <v>77</v>
      </c>
      <c r="P754">
        <v>78</v>
      </c>
      <c r="Q754">
        <v>4</v>
      </c>
      <c r="R754">
        <v>8.77</v>
      </c>
      <c r="S754" t="s">
        <v>33</v>
      </c>
      <c r="T754" t="s">
        <v>26</v>
      </c>
      <c r="U754">
        <v>15</v>
      </c>
    </row>
    <row r="755" spans="1:21" x14ac:dyDescent="0.25">
      <c r="A755" t="s">
        <v>20</v>
      </c>
      <c r="B755" t="s">
        <v>27</v>
      </c>
      <c r="C755" t="s">
        <v>50</v>
      </c>
      <c r="D755" t="s">
        <v>23</v>
      </c>
      <c r="E755" t="s">
        <v>29</v>
      </c>
      <c r="F755">
        <v>77</v>
      </c>
      <c r="G755">
        <v>90</v>
      </c>
      <c r="H755">
        <v>85</v>
      </c>
      <c r="J755">
        <v>77</v>
      </c>
      <c r="K755">
        <v>8.7749643870000007</v>
      </c>
      <c r="L755">
        <v>77</v>
      </c>
      <c r="M755">
        <v>90</v>
      </c>
      <c r="N755">
        <v>252</v>
      </c>
      <c r="O755">
        <v>84</v>
      </c>
      <c r="P755">
        <v>81</v>
      </c>
      <c r="Q755">
        <v>2</v>
      </c>
      <c r="R755">
        <v>9.17</v>
      </c>
      <c r="S755" t="s">
        <v>30</v>
      </c>
      <c r="T755" t="s">
        <v>42</v>
      </c>
      <c r="U755">
        <v>16</v>
      </c>
    </row>
    <row r="756" spans="1:21" x14ac:dyDescent="0.25">
      <c r="A756" t="s">
        <v>34</v>
      </c>
      <c r="B756" t="s">
        <v>27</v>
      </c>
      <c r="C756" t="s">
        <v>36</v>
      </c>
      <c r="D756" t="s">
        <v>37</v>
      </c>
      <c r="E756" t="s">
        <v>24</v>
      </c>
      <c r="F756">
        <v>58</v>
      </c>
      <c r="G756">
        <v>55</v>
      </c>
      <c r="H756">
        <v>53</v>
      </c>
      <c r="J756">
        <v>58</v>
      </c>
      <c r="K756">
        <v>7.6157731059999998</v>
      </c>
      <c r="L756">
        <v>53</v>
      </c>
      <c r="M756">
        <v>58</v>
      </c>
      <c r="N756">
        <v>166</v>
      </c>
      <c r="O756">
        <v>55.333333330000002</v>
      </c>
      <c r="P756">
        <v>56.5</v>
      </c>
      <c r="Q756">
        <v>4</v>
      </c>
      <c r="R756">
        <v>7.44</v>
      </c>
      <c r="S756" t="s">
        <v>38</v>
      </c>
      <c r="T756" t="s">
        <v>26</v>
      </c>
      <c r="U756">
        <v>18</v>
      </c>
    </row>
    <row r="757" spans="1:21" x14ac:dyDescent="0.25">
      <c r="A757" t="s">
        <v>20</v>
      </c>
      <c r="B757" t="s">
        <v>64</v>
      </c>
      <c r="C757" t="s">
        <v>36</v>
      </c>
      <c r="D757" t="s">
        <v>23</v>
      </c>
      <c r="E757" t="s">
        <v>24</v>
      </c>
      <c r="F757">
        <v>84</v>
      </c>
      <c r="G757">
        <v>95</v>
      </c>
      <c r="H757">
        <v>92</v>
      </c>
      <c r="J757">
        <v>84</v>
      </c>
      <c r="K757">
        <v>9.1651513900000001</v>
      </c>
      <c r="L757">
        <v>84</v>
      </c>
      <c r="M757">
        <v>95</v>
      </c>
      <c r="N757">
        <v>271</v>
      </c>
      <c r="O757">
        <v>90.333333330000002</v>
      </c>
      <c r="P757">
        <v>88</v>
      </c>
      <c r="Q757">
        <v>2</v>
      </c>
      <c r="R757">
        <v>9.5</v>
      </c>
      <c r="S757" t="s">
        <v>38</v>
      </c>
      <c r="T757" t="s">
        <v>26</v>
      </c>
      <c r="U757">
        <v>18</v>
      </c>
    </row>
    <row r="758" spans="1:21" x14ac:dyDescent="0.25">
      <c r="A758" t="s">
        <v>34</v>
      </c>
      <c r="B758" t="s">
        <v>39</v>
      </c>
      <c r="C758" t="s">
        <v>28</v>
      </c>
      <c r="D758" t="s">
        <v>23</v>
      </c>
      <c r="E758" t="s">
        <v>24</v>
      </c>
      <c r="F758">
        <v>55</v>
      </c>
      <c r="G758">
        <v>58</v>
      </c>
      <c r="H758">
        <v>52</v>
      </c>
      <c r="J758">
        <v>55</v>
      </c>
      <c r="K758">
        <v>7.416198487</v>
      </c>
      <c r="L758">
        <v>52</v>
      </c>
      <c r="M758">
        <v>58</v>
      </c>
      <c r="N758">
        <v>165</v>
      </c>
      <c r="O758">
        <v>55</v>
      </c>
      <c r="P758">
        <v>55</v>
      </c>
      <c r="Q758">
        <v>4</v>
      </c>
      <c r="R758">
        <v>7.42</v>
      </c>
      <c r="S758" t="s">
        <v>30</v>
      </c>
      <c r="T758" t="s">
        <v>31</v>
      </c>
      <c r="U758">
        <v>12</v>
      </c>
    </row>
    <row r="759" spans="1:21" x14ac:dyDescent="0.25">
      <c r="A759" t="s">
        <v>34</v>
      </c>
      <c r="B759" t="s">
        <v>64</v>
      </c>
      <c r="C759" t="s">
        <v>22</v>
      </c>
      <c r="D759" t="s">
        <v>37</v>
      </c>
      <c r="E759" t="s">
        <v>29</v>
      </c>
      <c r="F759">
        <v>70</v>
      </c>
      <c r="G759">
        <v>68</v>
      </c>
      <c r="H759">
        <v>72</v>
      </c>
      <c r="J759">
        <v>70</v>
      </c>
      <c r="K759">
        <v>8.3666002650000006</v>
      </c>
      <c r="L759">
        <v>68</v>
      </c>
      <c r="M759">
        <v>72</v>
      </c>
      <c r="N759">
        <v>210</v>
      </c>
      <c r="O759">
        <v>70</v>
      </c>
      <c r="P759">
        <v>70</v>
      </c>
      <c r="Q759">
        <v>1</v>
      </c>
      <c r="R759">
        <v>8.3699999999999992</v>
      </c>
      <c r="S759" t="s">
        <v>25</v>
      </c>
      <c r="T759" t="s">
        <v>26</v>
      </c>
      <c r="U759">
        <v>17</v>
      </c>
    </row>
    <row r="760" spans="1:21" x14ac:dyDescent="0.25">
      <c r="A760" t="s">
        <v>20</v>
      </c>
      <c r="B760" t="s">
        <v>39</v>
      </c>
      <c r="C760" t="s">
        <v>28</v>
      </c>
      <c r="D760" t="s">
        <v>37</v>
      </c>
      <c r="E760" t="s">
        <v>29</v>
      </c>
      <c r="F760">
        <v>52</v>
      </c>
      <c r="G760">
        <v>59</v>
      </c>
      <c r="H760">
        <v>65</v>
      </c>
      <c r="J760">
        <v>52</v>
      </c>
      <c r="K760">
        <v>7.2111025509999997</v>
      </c>
      <c r="L760">
        <v>52</v>
      </c>
      <c r="M760">
        <v>65</v>
      </c>
      <c r="N760">
        <v>176</v>
      </c>
      <c r="O760">
        <v>58.666666669999998</v>
      </c>
      <c r="P760">
        <v>55.5</v>
      </c>
      <c r="Q760">
        <v>1</v>
      </c>
      <c r="R760">
        <v>7.66</v>
      </c>
      <c r="S760" t="s">
        <v>30</v>
      </c>
      <c r="T760" t="s">
        <v>31</v>
      </c>
      <c r="U760">
        <v>12</v>
      </c>
    </row>
    <row r="761" spans="1:21" x14ac:dyDescent="0.25">
      <c r="A761" t="s">
        <v>34</v>
      </c>
      <c r="B761" t="s">
        <v>21</v>
      </c>
      <c r="C761" t="s">
        <v>28</v>
      </c>
      <c r="D761" t="s">
        <v>23</v>
      </c>
      <c r="E761" t="s">
        <v>29</v>
      </c>
      <c r="F761">
        <v>69</v>
      </c>
      <c r="G761">
        <v>77</v>
      </c>
      <c r="H761">
        <v>77</v>
      </c>
      <c r="J761">
        <v>69</v>
      </c>
      <c r="K761">
        <v>8.3066238630000004</v>
      </c>
      <c r="L761">
        <v>69</v>
      </c>
      <c r="M761">
        <v>77</v>
      </c>
      <c r="N761">
        <v>223</v>
      </c>
      <c r="O761">
        <v>74.333333330000002</v>
      </c>
      <c r="P761">
        <v>73</v>
      </c>
      <c r="Q761">
        <v>1</v>
      </c>
      <c r="R761">
        <v>8.6199999999999992</v>
      </c>
      <c r="S761" t="s">
        <v>30</v>
      </c>
      <c r="T761" t="s">
        <v>31</v>
      </c>
      <c r="U761">
        <v>12</v>
      </c>
    </row>
    <row r="762" spans="1:21" x14ac:dyDescent="0.25">
      <c r="A762" t="s">
        <v>20</v>
      </c>
      <c r="B762" t="s">
        <v>27</v>
      </c>
      <c r="C762" t="s">
        <v>40</v>
      </c>
      <c r="D762" t="s">
        <v>37</v>
      </c>
      <c r="E762" t="s">
        <v>24</v>
      </c>
      <c r="F762">
        <v>53</v>
      </c>
      <c r="G762">
        <v>72</v>
      </c>
      <c r="H762">
        <v>64</v>
      </c>
      <c r="J762">
        <v>53</v>
      </c>
      <c r="K762">
        <v>7.2801098890000002</v>
      </c>
      <c r="L762">
        <v>53</v>
      </c>
      <c r="M762">
        <v>72</v>
      </c>
      <c r="N762">
        <v>189</v>
      </c>
      <c r="O762">
        <v>63</v>
      </c>
      <c r="P762">
        <v>58.5</v>
      </c>
      <c r="Q762">
        <v>2</v>
      </c>
      <c r="R762">
        <v>7.94</v>
      </c>
      <c r="S762" t="s">
        <v>41</v>
      </c>
      <c r="T762" t="s">
        <v>42</v>
      </c>
      <c r="U762">
        <v>11</v>
      </c>
    </row>
    <row r="763" spans="1:21" x14ac:dyDescent="0.25">
      <c r="A763" t="s">
        <v>20</v>
      </c>
      <c r="B763" t="s">
        <v>39</v>
      </c>
      <c r="C763" t="s">
        <v>50</v>
      </c>
      <c r="D763" t="s">
        <v>23</v>
      </c>
      <c r="E763" t="s">
        <v>24</v>
      </c>
      <c r="F763">
        <v>48</v>
      </c>
      <c r="G763">
        <v>58</v>
      </c>
      <c r="H763">
        <v>54</v>
      </c>
      <c r="J763">
        <v>48</v>
      </c>
      <c r="K763">
        <v>6.9282032300000003</v>
      </c>
      <c r="L763">
        <v>48</v>
      </c>
      <c r="M763">
        <v>58</v>
      </c>
      <c r="N763">
        <v>160</v>
      </c>
      <c r="O763">
        <v>53.333333330000002</v>
      </c>
      <c r="P763">
        <v>51</v>
      </c>
      <c r="Q763">
        <v>2</v>
      </c>
      <c r="R763">
        <v>7.3</v>
      </c>
      <c r="S763" t="s">
        <v>30</v>
      </c>
      <c r="T763" t="s">
        <v>42</v>
      </c>
      <c r="U763">
        <v>16</v>
      </c>
    </row>
    <row r="764" spans="1:21" x14ac:dyDescent="0.25">
      <c r="A764" t="s">
        <v>34</v>
      </c>
      <c r="B764" t="s">
        <v>39</v>
      </c>
      <c r="C764" t="s">
        <v>50</v>
      </c>
      <c r="D764" t="s">
        <v>23</v>
      </c>
      <c r="E764" t="s">
        <v>29</v>
      </c>
      <c r="F764">
        <v>78</v>
      </c>
      <c r="G764">
        <v>81</v>
      </c>
      <c r="H764">
        <v>86</v>
      </c>
      <c r="J764">
        <v>78</v>
      </c>
      <c r="K764">
        <v>8.8317608659999998</v>
      </c>
      <c r="L764">
        <v>78</v>
      </c>
      <c r="M764">
        <v>86</v>
      </c>
      <c r="N764">
        <v>245</v>
      </c>
      <c r="O764">
        <v>81.666666669999998</v>
      </c>
      <c r="P764">
        <v>79.5</v>
      </c>
      <c r="Q764">
        <v>1</v>
      </c>
      <c r="R764">
        <v>9.0399999999999991</v>
      </c>
      <c r="S764" t="s">
        <v>30</v>
      </c>
      <c r="T764" t="s">
        <v>42</v>
      </c>
      <c r="U764">
        <v>16</v>
      </c>
    </row>
    <row r="765" spans="1:21" x14ac:dyDescent="0.25">
      <c r="A765" t="s">
        <v>20</v>
      </c>
      <c r="B765" t="s">
        <v>21</v>
      </c>
      <c r="C765" t="s">
        <v>40</v>
      </c>
      <c r="D765" t="s">
        <v>23</v>
      </c>
      <c r="E765" t="s">
        <v>24</v>
      </c>
      <c r="F765">
        <v>62</v>
      </c>
      <c r="G765">
        <v>62</v>
      </c>
      <c r="H765">
        <v>63</v>
      </c>
      <c r="J765">
        <v>62</v>
      </c>
      <c r="K765">
        <v>7.8740078740000001</v>
      </c>
      <c r="L765">
        <v>62</v>
      </c>
      <c r="M765">
        <v>63</v>
      </c>
      <c r="N765">
        <v>187</v>
      </c>
      <c r="O765">
        <v>62.333333330000002</v>
      </c>
      <c r="P765">
        <v>62</v>
      </c>
      <c r="Q765">
        <v>1</v>
      </c>
      <c r="R765">
        <v>7.9</v>
      </c>
      <c r="S765" t="s">
        <v>41</v>
      </c>
      <c r="T765" t="s">
        <v>42</v>
      </c>
      <c r="U765">
        <v>11</v>
      </c>
    </row>
    <row r="766" spans="1:21" x14ac:dyDescent="0.25">
      <c r="A766" t="s">
        <v>34</v>
      </c>
      <c r="B766" t="s">
        <v>39</v>
      </c>
      <c r="C766" t="s">
        <v>28</v>
      </c>
      <c r="D766" t="s">
        <v>23</v>
      </c>
      <c r="E766" t="s">
        <v>24</v>
      </c>
      <c r="F766">
        <v>60</v>
      </c>
      <c r="G766">
        <v>63</v>
      </c>
      <c r="H766">
        <v>59</v>
      </c>
      <c r="J766">
        <v>60</v>
      </c>
      <c r="K766">
        <v>7.7459666919999997</v>
      </c>
      <c r="L766">
        <v>59</v>
      </c>
      <c r="M766">
        <v>63</v>
      </c>
      <c r="N766">
        <v>182</v>
      </c>
      <c r="O766">
        <v>60.666666669999998</v>
      </c>
      <c r="P766">
        <v>60</v>
      </c>
      <c r="Q766">
        <v>4</v>
      </c>
      <c r="R766">
        <v>7.79</v>
      </c>
      <c r="S766" t="s">
        <v>30</v>
      </c>
      <c r="T766" t="s">
        <v>31</v>
      </c>
      <c r="U766">
        <v>12</v>
      </c>
    </row>
    <row r="767" spans="1:21" x14ac:dyDescent="0.25">
      <c r="A767" t="s">
        <v>20</v>
      </c>
      <c r="B767" t="s">
        <v>21</v>
      </c>
      <c r="C767" t="s">
        <v>40</v>
      </c>
      <c r="D767" t="s">
        <v>23</v>
      </c>
      <c r="E767" t="s">
        <v>24</v>
      </c>
      <c r="F767">
        <v>74</v>
      </c>
      <c r="G767">
        <v>72</v>
      </c>
      <c r="H767">
        <v>72</v>
      </c>
      <c r="J767">
        <v>74</v>
      </c>
      <c r="K767">
        <v>8.6023252669999994</v>
      </c>
      <c r="L767">
        <v>72</v>
      </c>
      <c r="M767">
        <v>74</v>
      </c>
      <c r="N767">
        <v>218</v>
      </c>
      <c r="O767">
        <v>72.666666669999998</v>
      </c>
      <c r="P767">
        <v>73</v>
      </c>
      <c r="Q767">
        <v>3</v>
      </c>
      <c r="R767">
        <v>8.52</v>
      </c>
      <c r="S767" t="s">
        <v>41</v>
      </c>
      <c r="T767" t="s">
        <v>42</v>
      </c>
      <c r="U767">
        <v>11</v>
      </c>
    </row>
    <row r="768" spans="1:21" x14ac:dyDescent="0.25">
      <c r="A768" t="s">
        <v>20</v>
      </c>
      <c r="B768" t="s">
        <v>27</v>
      </c>
      <c r="C768" t="s">
        <v>40</v>
      </c>
      <c r="D768" t="s">
        <v>23</v>
      </c>
      <c r="E768" t="s">
        <v>29</v>
      </c>
      <c r="F768">
        <v>58</v>
      </c>
      <c r="G768">
        <v>75</v>
      </c>
      <c r="H768">
        <v>77</v>
      </c>
      <c r="J768">
        <v>58</v>
      </c>
      <c r="K768">
        <v>7.6157731059999998</v>
      </c>
      <c r="L768">
        <v>58</v>
      </c>
      <c r="M768">
        <v>77</v>
      </c>
      <c r="N768">
        <v>210</v>
      </c>
      <c r="O768">
        <v>70</v>
      </c>
      <c r="P768">
        <v>66.5</v>
      </c>
      <c r="Q768">
        <v>1</v>
      </c>
      <c r="R768">
        <v>8.3699999999999992</v>
      </c>
      <c r="S768" t="s">
        <v>41</v>
      </c>
      <c r="T768" t="s">
        <v>42</v>
      </c>
      <c r="U768">
        <v>11</v>
      </c>
    </row>
    <row r="769" spans="1:21" x14ac:dyDescent="0.25">
      <c r="A769" t="s">
        <v>34</v>
      </c>
      <c r="B769" t="s">
        <v>21</v>
      </c>
      <c r="C769" t="s">
        <v>40</v>
      </c>
      <c r="D769" t="s">
        <v>23</v>
      </c>
      <c r="E769" t="s">
        <v>29</v>
      </c>
      <c r="F769">
        <v>76</v>
      </c>
      <c r="G769">
        <v>62</v>
      </c>
      <c r="H769">
        <v>60</v>
      </c>
      <c r="J769">
        <v>76</v>
      </c>
      <c r="K769">
        <v>8.7177978869999997</v>
      </c>
      <c r="L769">
        <v>60</v>
      </c>
      <c r="M769">
        <v>76</v>
      </c>
      <c r="N769">
        <v>198</v>
      </c>
      <c r="O769">
        <v>66</v>
      </c>
      <c r="P769">
        <v>69</v>
      </c>
      <c r="Q769">
        <v>4</v>
      </c>
      <c r="R769">
        <v>8.1199999999999992</v>
      </c>
      <c r="S769" t="s">
        <v>41</v>
      </c>
      <c r="T769" t="s">
        <v>42</v>
      </c>
      <c r="U769">
        <v>11</v>
      </c>
    </row>
    <row r="770" spans="1:21" x14ac:dyDescent="0.25">
      <c r="A770" t="s">
        <v>20</v>
      </c>
      <c r="B770" t="s">
        <v>39</v>
      </c>
      <c r="C770" t="s">
        <v>50</v>
      </c>
      <c r="D770" t="s">
        <v>23</v>
      </c>
      <c r="E770" t="s">
        <v>24</v>
      </c>
      <c r="F770">
        <v>68</v>
      </c>
      <c r="G770">
        <v>71</v>
      </c>
      <c r="H770">
        <v>75</v>
      </c>
      <c r="J770">
        <v>68</v>
      </c>
      <c r="K770">
        <v>8.2462112510000001</v>
      </c>
      <c r="L770">
        <v>68</v>
      </c>
      <c r="M770">
        <v>75</v>
      </c>
      <c r="N770">
        <v>214</v>
      </c>
      <c r="O770">
        <v>71.333333330000002</v>
      </c>
      <c r="P770">
        <v>69.5</v>
      </c>
      <c r="Q770">
        <v>1</v>
      </c>
      <c r="R770">
        <v>8.4499999999999993</v>
      </c>
      <c r="S770" t="s">
        <v>30</v>
      </c>
      <c r="T770" t="s">
        <v>42</v>
      </c>
      <c r="U770">
        <v>16</v>
      </c>
    </row>
    <row r="771" spans="1:21" x14ac:dyDescent="0.25">
      <c r="A771" t="s">
        <v>34</v>
      </c>
      <c r="B771" t="s">
        <v>35</v>
      </c>
      <c r="C771" t="s">
        <v>28</v>
      </c>
      <c r="D771" t="s">
        <v>37</v>
      </c>
      <c r="E771" t="s">
        <v>24</v>
      </c>
      <c r="F771">
        <v>58</v>
      </c>
      <c r="G771">
        <v>60</v>
      </c>
      <c r="H771">
        <v>57</v>
      </c>
      <c r="J771">
        <v>58</v>
      </c>
      <c r="K771">
        <v>7.6157731059999998</v>
      </c>
      <c r="L771">
        <v>57</v>
      </c>
      <c r="M771">
        <v>60</v>
      </c>
      <c r="N771">
        <v>175</v>
      </c>
      <c r="O771">
        <v>58.333333330000002</v>
      </c>
      <c r="P771">
        <v>58</v>
      </c>
      <c r="Q771">
        <v>4</v>
      </c>
      <c r="R771">
        <v>7.64</v>
      </c>
      <c r="S771" t="s">
        <v>30</v>
      </c>
      <c r="T771" t="s">
        <v>31</v>
      </c>
      <c r="U771">
        <v>12</v>
      </c>
    </row>
    <row r="772" spans="1:21" x14ac:dyDescent="0.25">
      <c r="A772" t="s">
        <v>34</v>
      </c>
      <c r="B772" t="s">
        <v>21</v>
      </c>
      <c r="C772" t="s">
        <v>40</v>
      </c>
      <c r="D772" t="s">
        <v>23</v>
      </c>
      <c r="E772" t="s">
        <v>24</v>
      </c>
      <c r="F772">
        <v>52</v>
      </c>
      <c r="G772">
        <v>48</v>
      </c>
      <c r="H772">
        <v>49</v>
      </c>
      <c r="J772">
        <v>52</v>
      </c>
      <c r="K772">
        <v>7.2111025509999997</v>
      </c>
      <c r="L772">
        <v>48</v>
      </c>
      <c r="M772">
        <v>52</v>
      </c>
      <c r="N772">
        <v>149</v>
      </c>
      <c r="O772">
        <v>49.666666669999998</v>
      </c>
      <c r="P772">
        <v>50.5</v>
      </c>
      <c r="Q772">
        <v>3</v>
      </c>
      <c r="R772">
        <v>7.05</v>
      </c>
      <c r="S772" t="s">
        <v>41</v>
      </c>
      <c r="T772" t="s">
        <v>42</v>
      </c>
      <c r="U772">
        <v>11</v>
      </c>
    </row>
    <row r="773" spans="1:21" x14ac:dyDescent="0.25">
      <c r="A773" t="s">
        <v>34</v>
      </c>
      <c r="B773" t="s">
        <v>39</v>
      </c>
      <c r="C773" t="s">
        <v>22</v>
      </c>
      <c r="D773" t="s">
        <v>23</v>
      </c>
      <c r="E773" t="s">
        <v>24</v>
      </c>
      <c r="F773">
        <v>75</v>
      </c>
      <c r="G773">
        <v>73</v>
      </c>
      <c r="H773">
        <v>74</v>
      </c>
      <c r="J773">
        <v>75</v>
      </c>
      <c r="K773">
        <v>8.6602540379999997</v>
      </c>
      <c r="L773">
        <v>73</v>
      </c>
      <c r="M773">
        <v>75</v>
      </c>
      <c r="N773">
        <v>222</v>
      </c>
      <c r="O773">
        <v>74</v>
      </c>
      <c r="P773">
        <v>74.5</v>
      </c>
      <c r="Q773">
        <v>3</v>
      </c>
      <c r="R773">
        <v>8.6</v>
      </c>
      <c r="S773" t="s">
        <v>25</v>
      </c>
      <c r="T773" t="s">
        <v>26</v>
      </c>
      <c r="U773">
        <v>17</v>
      </c>
    </row>
    <row r="774" spans="1:21" x14ac:dyDescent="0.25">
      <c r="A774" t="s">
        <v>20</v>
      </c>
      <c r="B774" t="s">
        <v>21</v>
      </c>
      <c r="C774" t="s">
        <v>50</v>
      </c>
      <c r="D774" t="s">
        <v>37</v>
      </c>
      <c r="E774" t="s">
        <v>29</v>
      </c>
      <c r="F774">
        <v>52</v>
      </c>
      <c r="G774">
        <v>67</v>
      </c>
      <c r="H774">
        <v>72</v>
      </c>
      <c r="J774">
        <v>52</v>
      </c>
      <c r="K774">
        <v>7.2111025509999997</v>
      </c>
      <c r="L774">
        <v>52</v>
      </c>
      <c r="M774">
        <v>72</v>
      </c>
      <c r="N774">
        <v>191</v>
      </c>
      <c r="O774">
        <v>63.666666669999998</v>
      </c>
      <c r="P774">
        <v>59.5</v>
      </c>
      <c r="Q774">
        <v>1</v>
      </c>
      <c r="R774">
        <v>7.98</v>
      </c>
      <c r="S774" t="s">
        <v>30</v>
      </c>
      <c r="T774" t="s">
        <v>42</v>
      </c>
      <c r="U774">
        <v>16</v>
      </c>
    </row>
    <row r="775" spans="1:21" x14ac:dyDescent="0.25">
      <c r="A775" t="s">
        <v>20</v>
      </c>
      <c r="B775" t="s">
        <v>27</v>
      </c>
      <c r="C775" t="s">
        <v>22</v>
      </c>
      <c r="D775" t="s">
        <v>37</v>
      </c>
      <c r="E775" t="s">
        <v>24</v>
      </c>
      <c r="F775">
        <v>62</v>
      </c>
      <c r="G775">
        <v>78</v>
      </c>
      <c r="H775">
        <v>79</v>
      </c>
      <c r="J775">
        <v>62</v>
      </c>
      <c r="K775">
        <v>7.8740078740000001</v>
      </c>
      <c r="L775">
        <v>62</v>
      </c>
      <c r="M775">
        <v>79</v>
      </c>
      <c r="N775">
        <v>219</v>
      </c>
      <c r="O775">
        <v>73</v>
      </c>
      <c r="P775">
        <v>70</v>
      </c>
      <c r="Q775">
        <v>1</v>
      </c>
      <c r="R775">
        <v>8.5399999999999991</v>
      </c>
      <c r="S775" t="s">
        <v>25</v>
      </c>
      <c r="T775" t="s">
        <v>26</v>
      </c>
      <c r="U775">
        <v>17</v>
      </c>
    </row>
    <row r="776" spans="1:21" x14ac:dyDescent="0.25">
      <c r="A776" t="s">
        <v>34</v>
      </c>
      <c r="B776" t="s">
        <v>21</v>
      </c>
      <c r="C776" t="s">
        <v>28</v>
      </c>
      <c r="D776" t="s">
        <v>23</v>
      </c>
      <c r="E776" t="s">
        <v>24</v>
      </c>
      <c r="F776">
        <v>66</v>
      </c>
      <c r="G776">
        <v>65</v>
      </c>
      <c r="H776">
        <v>60</v>
      </c>
      <c r="J776">
        <v>66</v>
      </c>
      <c r="K776">
        <v>8.1240384050000003</v>
      </c>
      <c r="L776">
        <v>60</v>
      </c>
      <c r="M776">
        <v>66</v>
      </c>
      <c r="N776">
        <v>191</v>
      </c>
      <c r="O776">
        <v>63.666666669999998</v>
      </c>
      <c r="P776">
        <v>65.5</v>
      </c>
      <c r="Q776">
        <v>4</v>
      </c>
      <c r="R776">
        <v>7.98</v>
      </c>
      <c r="S776" t="s">
        <v>30</v>
      </c>
      <c r="T776" t="s">
        <v>31</v>
      </c>
      <c r="U776">
        <v>12</v>
      </c>
    </row>
    <row r="777" spans="1:21" x14ac:dyDescent="0.25">
      <c r="A777" t="s">
        <v>20</v>
      </c>
      <c r="B777" t="s">
        <v>21</v>
      </c>
      <c r="C777" t="s">
        <v>50</v>
      </c>
      <c r="D777" t="s">
        <v>37</v>
      </c>
      <c r="E777" t="s">
        <v>24</v>
      </c>
      <c r="F777">
        <v>49</v>
      </c>
      <c r="G777">
        <v>58</v>
      </c>
      <c r="H777">
        <v>55</v>
      </c>
      <c r="J777">
        <v>49</v>
      </c>
      <c r="K777">
        <v>7</v>
      </c>
      <c r="L777">
        <v>49</v>
      </c>
      <c r="M777">
        <v>58</v>
      </c>
      <c r="N777">
        <v>162</v>
      </c>
      <c r="O777">
        <v>54</v>
      </c>
      <c r="P777">
        <v>52</v>
      </c>
      <c r="Q777">
        <v>2</v>
      </c>
      <c r="R777">
        <v>7.35</v>
      </c>
      <c r="S777" t="s">
        <v>30</v>
      </c>
      <c r="T777" t="s">
        <v>42</v>
      </c>
      <c r="U777">
        <v>16</v>
      </c>
    </row>
    <row r="778" spans="1:21" x14ac:dyDescent="0.25">
      <c r="A778" t="s">
        <v>20</v>
      </c>
      <c r="B778" t="s">
        <v>21</v>
      </c>
      <c r="C778" t="s">
        <v>40</v>
      </c>
      <c r="D778" t="s">
        <v>23</v>
      </c>
      <c r="E778" t="s">
        <v>24</v>
      </c>
      <c r="F778">
        <v>66</v>
      </c>
      <c r="G778">
        <v>72</v>
      </c>
      <c r="H778">
        <v>70</v>
      </c>
      <c r="J778">
        <v>66</v>
      </c>
      <c r="K778">
        <v>8.1240384050000003</v>
      </c>
      <c r="L778">
        <v>66</v>
      </c>
      <c r="M778">
        <v>72</v>
      </c>
      <c r="N778">
        <v>208</v>
      </c>
      <c r="O778">
        <v>69.333333330000002</v>
      </c>
      <c r="P778">
        <v>68</v>
      </c>
      <c r="Q778">
        <v>2</v>
      </c>
      <c r="R778">
        <v>8.33</v>
      </c>
      <c r="S778" t="s">
        <v>41</v>
      </c>
      <c r="T778" t="s">
        <v>42</v>
      </c>
      <c r="U778">
        <v>11</v>
      </c>
    </row>
    <row r="779" spans="1:21" x14ac:dyDescent="0.25">
      <c r="A779" t="s">
        <v>20</v>
      </c>
      <c r="B779" t="s">
        <v>27</v>
      </c>
      <c r="C779" t="s">
        <v>28</v>
      </c>
      <c r="D779" t="s">
        <v>37</v>
      </c>
      <c r="E779" t="s">
        <v>24</v>
      </c>
      <c r="F779">
        <v>35</v>
      </c>
      <c r="G779">
        <v>44</v>
      </c>
      <c r="H779">
        <v>43</v>
      </c>
      <c r="J779">
        <v>35</v>
      </c>
      <c r="K779">
        <v>5.9160797829999998</v>
      </c>
      <c r="L779">
        <v>35</v>
      </c>
      <c r="M779">
        <v>44</v>
      </c>
      <c r="N779">
        <v>122</v>
      </c>
      <c r="O779">
        <v>40.666666669999998</v>
      </c>
      <c r="P779">
        <v>39</v>
      </c>
      <c r="Q779">
        <v>2</v>
      </c>
      <c r="R779">
        <v>6.38</v>
      </c>
      <c r="S779" t="s">
        <v>30</v>
      </c>
      <c r="T779" t="s">
        <v>31</v>
      </c>
      <c r="U779">
        <v>12</v>
      </c>
    </row>
    <row r="780" spans="1:21" x14ac:dyDescent="0.25">
      <c r="A780" t="s">
        <v>20</v>
      </c>
      <c r="B780" t="s">
        <v>35</v>
      </c>
      <c r="C780" t="s">
        <v>28</v>
      </c>
      <c r="D780" t="s">
        <v>23</v>
      </c>
      <c r="E780" t="s">
        <v>29</v>
      </c>
      <c r="F780">
        <v>72</v>
      </c>
      <c r="G780">
        <v>79</v>
      </c>
      <c r="H780">
        <v>82</v>
      </c>
      <c r="J780">
        <v>72</v>
      </c>
      <c r="K780">
        <v>8.4852813739999995</v>
      </c>
      <c r="L780">
        <v>72</v>
      </c>
      <c r="M780">
        <v>82</v>
      </c>
      <c r="N780">
        <v>233</v>
      </c>
      <c r="O780">
        <v>77.666666669999998</v>
      </c>
      <c r="P780">
        <v>75.5</v>
      </c>
      <c r="Q780">
        <v>1</v>
      </c>
      <c r="R780">
        <v>8.81</v>
      </c>
      <c r="S780" t="s">
        <v>30</v>
      </c>
      <c r="T780" t="s">
        <v>31</v>
      </c>
      <c r="U780">
        <v>12</v>
      </c>
    </row>
    <row r="781" spans="1:21" x14ac:dyDescent="0.25">
      <c r="A781" t="s">
        <v>34</v>
      </c>
      <c r="B781" t="s">
        <v>64</v>
      </c>
      <c r="C781" t="s">
        <v>36</v>
      </c>
      <c r="D781" t="s">
        <v>23</v>
      </c>
      <c r="E781" t="s">
        <v>29</v>
      </c>
      <c r="F781">
        <v>94</v>
      </c>
      <c r="G781">
        <v>85</v>
      </c>
      <c r="H781">
        <v>82</v>
      </c>
      <c r="J781">
        <v>94</v>
      </c>
      <c r="K781">
        <v>9.6953597150000004</v>
      </c>
      <c r="L781">
        <v>82</v>
      </c>
      <c r="M781">
        <v>94</v>
      </c>
      <c r="N781">
        <v>261</v>
      </c>
      <c r="O781">
        <v>87</v>
      </c>
      <c r="P781">
        <v>89.5</v>
      </c>
      <c r="Q781">
        <v>4</v>
      </c>
      <c r="R781">
        <v>9.33</v>
      </c>
      <c r="S781" t="s">
        <v>38</v>
      </c>
      <c r="T781" t="s">
        <v>26</v>
      </c>
      <c r="U781">
        <v>18</v>
      </c>
    </row>
    <row r="782" spans="1:21" x14ac:dyDescent="0.25">
      <c r="A782" t="s">
        <v>20</v>
      </c>
      <c r="B782" t="s">
        <v>39</v>
      </c>
      <c r="C782" t="s">
        <v>36</v>
      </c>
      <c r="D782" t="s">
        <v>37</v>
      </c>
      <c r="E782" t="s">
        <v>24</v>
      </c>
      <c r="F782">
        <v>46</v>
      </c>
      <c r="G782">
        <v>56</v>
      </c>
      <c r="H782">
        <v>57</v>
      </c>
      <c r="J782">
        <v>46</v>
      </c>
      <c r="K782">
        <v>6.7823299830000003</v>
      </c>
      <c r="L782">
        <v>46</v>
      </c>
      <c r="M782">
        <v>57</v>
      </c>
      <c r="N782">
        <v>159</v>
      </c>
      <c r="O782">
        <v>53</v>
      </c>
      <c r="P782">
        <v>51</v>
      </c>
      <c r="Q782">
        <v>1</v>
      </c>
      <c r="R782">
        <v>7.28</v>
      </c>
      <c r="S782" t="s">
        <v>38</v>
      </c>
      <c r="T782" t="s">
        <v>26</v>
      </c>
      <c r="U782">
        <v>18</v>
      </c>
    </row>
    <row r="783" spans="1:21" x14ac:dyDescent="0.25">
      <c r="A783" t="s">
        <v>20</v>
      </c>
      <c r="B783" t="s">
        <v>21</v>
      </c>
      <c r="C783" t="s">
        <v>32</v>
      </c>
      <c r="D783" t="s">
        <v>23</v>
      </c>
      <c r="E783" t="s">
        <v>24</v>
      </c>
      <c r="F783">
        <v>77</v>
      </c>
      <c r="G783">
        <v>90</v>
      </c>
      <c r="H783">
        <v>84</v>
      </c>
      <c r="J783">
        <v>77</v>
      </c>
      <c r="K783">
        <v>8.7749643870000007</v>
      </c>
      <c r="L783">
        <v>77</v>
      </c>
      <c r="M783">
        <v>90</v>
      </c>
      <c r="N783">
        <v>251</v>
      </c>
      <c r="O783">
        <v>83.666666669999998</v>
      </c>
      <c r="P783">
        <v>80.5</v>
      </c>
      <c r="Q783">
        <v>2</v>
      </c>
      <c r="R783">
        <v>9.15</v>
      </c>
      <c r="S783" t="s">
        <v>33</v>
      </c>
      <c r="T783" t="s">
        <v>26</v>
      </c>
      <c r="U783">
        <v>15</v>
      </c>
    </row>
    <row r="784" spans="1:21" x14ac:dyDescent="0.25">
      <c r="A784" t="s">
        <v>20</v>
      </c>
      <c r="B784" t="s">
        <v>21</v>
      </c>
      <c r="C784" t="s">
        <v>40</v>
      </c>
      <c r="D784" t="s">
        <v>37</v>
      </c>
      <c r="E784" t="s">
        <v>29</v>
      </c>
      <c r="F784">
        <v>76</v>
      </c>
      <c r="G784">
        <v>85</v>
      </c>
      <c r="H784">
        <v>82</v>
      </c>
      <c r="J784">
        <v>76</v>
      </c>
      <c r="K784">
        <v>8.7177978869999997</v>
      </c>
      <c r="L784">
        <v>76</v>
      </c>
      <c r="M784">
        <v>85</v>
      </c>
      <c r="N784">
        <v>243</v>
      </c>
      <c r="O784">
        <v>81</v>
      </c>
      <c r="P784">
        <v>79</v>
      </c>
      <c r="Q784">
        <v>2</v>
      </c>
      <c r="R784">
        <v>9</v>
      </c>
      <c r="S784" t="s">
        <v>41</v>
      </c>
      <c r="T784" t="s">
        <v>42</v>
      </c>
      <c r="U784">
        <v>11</v>
      </c>
    </row>
    <row r="785" spans="1:21" x14ac:dyDescent="0.25">
      <c r="A785" t="s">
        <v>20</v>
      </c>
      <c r="B785" t="s">
        <v>27</v>
      </c>
      <c r="C785" t="s">
        <v>36</v>
      </c>
      <c r="D785" t="s">
        <v>23</v>
      </c>
      <c r="E785" t="s">
        <v>29</v>
      </c>
      <c r="F785">
        <v>52</v>
      </c>
      <c r="G785">
        <v>59</v>
      </c>
      <c r="H785">
        <v>62</v>
      </c>
      <c r="J785">
        <v>52</v>
      </c>
      <c r="K785">
        <v>7.2111025509999997</v>
      </c>
      <c r="L785">
        <v>52</v>
      </c>
      <c r="M785">
        <v>62</v>
      </c>
      <c r="N785">
        <v>173</v>
      </c>
      <c r="O785">
        <v>57.666666669999998</v>
      </c>
      <c r="P785">
        <v>55.5</v>
      </c>
      <c r="Q785">
        <v>1</v>
      </c>
      <c r="R785">
        <v>7.59</v>
      </c>
      <c r="S785" t="s">
        <v>38</v>
      </c>
      <c r="T785" t="s">
        <v>26</v>
      </c>
      <c r="U785">
        <v>18</v>
      </c>
    </row>
    <row r="786" spans="1:21" x14ac:dyDescent="0.25">
      <c r="A786" t="s">
        <v>34</v>
      </c>
      <c r="B786" t="s">
        <v>27</v>
      </c>
      <c r="C786" t="s">
        <v>22</v>
      </c>
      <c r="D786" t="s">
        <v>23</v>
      </c>
      <c r="E786" t="s">
        <v>29</v>
      </c>
      <c r="F786">
        <v>91</v>
      </c>
      <c r="G786">
        <v>81</v>
      </c>
      <c r="H786">
        <v>79</v>
      </c>
      <c r="J786">
        <v>91</v>
      </c>
      <c r="K786">
        <v>9.5393920140000006</v>
      </c>
      <c r="L786">
        <v>79</v>
      </c>
      <c r="M786">
        <v>91</v>
      </c>
      <c r="N786">
        <v>251</v>
      </c>
      <c r="O786">
        <v>83.666666669999998</v>
      </c>
      <c r="P786">
        <v>86</v>
      </c>
      <c r="Q786">
        <v>4</v>
      </c>
      <c r="R786">
        <v>9.15</v>
      </c>
      <c r="S786" t="s">
        <v>25</v>
      </c>
      <c r="T786" t="s">
        <v>26</v>
      </c>
      <c r="U786">
        <v>17</v>
      </c>
    </row>
    <row r="787" spans="1:21" x14ac:dyDescent="0.25">
      <c r="A787" t="s">
        <v>20</v>
      </c>
      <c r="B787" t="s">
        <v>21</v>
      </c>
      <c r="C787" t="s">
        <v>50</v>
      </c>
      <c r="D787" t="s">
        <v>23</v>
      </c>
      <c r="E787" t="s">
        <v>29</v>
      </c>
      <c r="F787">
        <v>32</v>
      </c>
      <c r="G787">
        <v>51</v>
      </c>
      <c r="H787">
        <v>44</v>
      </c>
      <c r="J787">
        <v>32</v>
      </c>
      <c r="K787">
        <v>5.6568542490000002</v>
      </c>
      <c r="L787">
        <v>32</v>
      </c>
      <c r="M787">
        <v>51</v>
      </c>
      <c r="N787">
        <v>127</v>
      </c>
      <c r="O787">
        <v>42.333333330000002</v>
      </c>
      <c r="P787">
        <v>38</v>
      </c>
      <c r="Q787">
        <v>2</v>
      </c>
      <c r="R787">
        <v>6.51</v>
      </c>
      <c r="S787" t="s">
        <v>30</v>
      </c>
      <c r="T787" t="s">
        <v>42</v>
      </c>
      <c r="U787">
        <v>16</v>
      </c>
    </row>
    <row r="788" spans="1:21" x14ac:dyDescent="0.25">
      <c r="A788" t="s">
        <v>20</v>
      </c>
      <c r="B788" t="s">
        <v>64</v>
      </c>
      <c r="C788" t="s">
        <v>50</v>
      </c>
      <c r="D788" t="s">
        <v>37</v>
      </c>
      <c r="E788" t="s">
        <v>24</v>
      </c>
      <c r="F788">
        <v>72</v>
      </c>
      <c r="G788">
        <v>79</v>
      </c>
      <c r="H788">
        <v>77</v>
      </c>
      <c r="J788">
        <v>72</v>
      </c>
      <c r="K788">
        <v>8.4852813739999995</v>
      </c>
      <c r="L788">
        <v>72</v>
      </c>
      <c r="M788">
        <v>79</v>
      </c>
      <c r="N788">
        <v>228</v>
      </c>
      <c r="O788">
        <v>76</v>
      </c>
      <c r="P788">
        <v>74.5</v>
      </c>
      <c r="Q788">
        <v>2</v>
      </c>
      <c r="R788">
        <v>8.7200000000000006</v>
      </c>
      <c r="S788" t="s">
        <v>30</v>
      </c>
      <c r="T788" t="s">
        <v>42</v>
      </c>
      <c r="U788">
        <v>16</v>
      </c>
    </row>
    <row r="789" spans="1:21" x14ac:dyDescent="0.25">
      <c r="A789" t="s">
        <v>20</v>
      </c>
      <c r="B789" t="s">
        <v>21</v>
      </c>
      <c r="C789" t="s">
        <v>28</v>
      </c>
      <c r="D789" t="s">
        <v>23</v>
      </c>
      <c r="E789" t="s">
        <v>24</v>
      </c>
      <c r="F789">
        <v>19</v>
      </c>
      <c r="G789">
        <v>38</v>
      </c>
      <c r="H789">
        <v>32</v>
      </c>
      <c r="J789">
        <v>19</v>
      </c>
      <c r="K789">
        <v>4.3588989439999999</v>
      </c>
      <c r="L789">
        <v>19</v>
      </c>
      <c r="M789">
        <v>38</v>
      </c>
      <c r="N789">
        <v>89</v>
      </c>
      <c r="O789">
        <v>29.666666670000001</v>
      </c>
      <c r="P789">
        <v>25.5</v>
      </c>
      <c r="Q789">
        <v>2</v>
      </c>
      <c r="R789">
        <v>5.45</v>
      </c>
      <c r="S789" t="s">
        <v>30</v>
      </c>
      <c r="T789" t="s">
        <v>31</v>
      </c>
      <c r="U789">
        <v>12</v>
      </c>
    </row>
    <row r="790" spans="1:21" x14ac:dyDescent="0.25">
      <c r="A790" t="s">
        <v>34</v>
      </c>
      <c r="B790" t="s">
        <v>27</v>
      </c>
      <c r="C790" t="s">
        <v>36</v>
      </c>
      <c r="D790" t="s">
        <v>37</v>
      </c>
      <c r="E790" t="s">
        <v>24</v>
      </c>
      <c r="F790">
        <v>68</v>
      </c>
      <c r="G790">
        <v>65</v>
      </c>
      <c r="H790">
        <v>61</v>
      </c>
      <c r="J790">
        <v>68</v>
      </c>
      <c r="K790">
        <v>8.2462112510000001</v>
      </c>
      <c r="L790">
        <v>61</v>
      </c>
      <c r="M790">
        <v>68</v>
      </c>
      <c r="N790">
        <v>194</v>
      </c>
      <c r="O790">
        <v>64.666666669999998</v>
      </c>
      <c r="P790">
        <v>66.5</v>
      </c>
      <c r="Q790">
        <v>4</v>
      </c>
      <c r="R790">
        <v>8.0399999999999991</v>
      </c>
      <c r="S790" t="s">
        <v>38</v>
      </c>
      <c r="T790" t="s">
        <v>26</v>
      </c>
      <c r="U790">
        <v>18</v>
      </c>
    </row>
    <row r="791" spans="1:21" x14ac:dyDescent="0.25">
      <c r="A791" t="s">
        <v>20</v>
      </c>
      <c r="B791" t="s">
        <v>27</v>
      </c>
      <c r="C791" t="s">
        <v>32</v>
      </c>
      <c r="D791" t="s">
        <v>37</v>
      </c>
      <c r="E791" t="s">
        <v>24</v>
      </c>
      <c r="F791">
        <v>52</v>
      </c>
      <c r="G791">
        <v>65</v>
      </c>
      <c r="H791">
        <v>61</v>
      </c>
      <c r="J791">
        <v>52</v>
      </c>
      <c r="K791">
        <v>7.2111025509999997</v>
      </c>
      <c r="L791">
        <v>52</v>
      </c>
      <c r="M791">
        <v>65</v>
      </c>
      <c r="N791">
        <v>178</v>
      </c>
      <c r="O791">
        <v>59.333333330000002</v>
      </c>
      <c r="P791">
        <v>56.5</v>
      </c>
      <c r="Q791">
        <v>2</v>
      </c>
      <c r="R791">
        <v>7.7</v>
      </c>
      <c r="S791" t="s">
        <v>33</v>
      </c>
      <c r="T791" t="s">
        <v>26</v>
      </c>
      <c r="U791">
        <v>15</v>
      </c>
    </row>
    <row r="792" spans="1:21" x14ac:dyDescent="0.25">
      <c r="A792" t="s">
        <v>20</v>
      </c>
      <c r="B792" t="s">
        <v>21</v>
      </c>
      <c r="C792" t="s">
        <v>40</v>
      </c>
      <c r="D792" t="s">
        <v>23</v>
      </c>
      <c r="E792" t="s">
        <v>24</v>
      </c>
      <c r="F792">
        <v>48</v>
      </c>
      <c r="G792">
        <v>62</v>
      </c>
      <c r="H792">
        <v>60</v>
      </c>
      <c r="J792">
        <v>48</v>
      </c>
      <c r="K792">
        <v>6.9282032300000003</v>
      </c>
      <c r="L792">
        <v>48</v>
      </c>
      <c r="M792">
        <v>62</v>
      </c>
      <c r="N792">
        <v>170</v>
      </c>
      <c r="O792">
        <v>56.666666669999998</v>
      </c>
      <c r="P792">
        <v>54</v>
      </c>
      <c r="Q792">
        <v>2</v>
      </c>
      <c r="R792">
        <v>7.53</v>
      </c>
      <c r="S792" t="s">
        <v>41</v>
      </c>
      <c r="T792" t="s">
        <v>42</v>
      </c>
      <c r="U792">
        <v>11</v>
      </c>
    </row>
    <row r="793" spans="1:21" x14ac:dyDescent="0.25">
      <c r="A793" t="s">
        <v>20</v>
      </c>
      <c r="B793" t="s">
        <v>39</v>
      </c>
      <c r="C793" t="s">
        <v>28</v>
      </c>
      <c r="D793" t="s">
        <v>37</v>
      </c>
      <c r="E793" t="s">
        <v>24</v>
      </c>
      <c r="F793">
        <v>60</v>
      </c>
      <c r="G793">
        <v>66</v>
      </c>
      <c r="H793">
        <v>70</v>
      </c>
      <c r="J793">
        <v>60</v>
      </c>
      <c r="K793">
        <v>7.7459666919999997</v>
      </c>
      <c r="L793">
        <v>60</v>
      </c>
      <c r="M793">
        <v>70</v>
      </c>
      <c r="N793">
        <v>196</v>
      </c>
      <c r="O793">
        <v>65.333333330000002</v>
      </c>
      <c r="P793">
        <v>63</v>
      </c>
      <c r="Q793">
        <v>1</v>
      </c>
      <c r="R793">
        <v>8.08</v>
      </c>
      <c r="S793" t="s">
        <v>30</v>
      </c>
      <c r="T793" t="s">
        <v>31</v>
      </c>
      <c r="U793">
        <v>12</v>
      </c>
    </row>
    <row r="794" spans="1:21" x14ac:dyDescent="0.25">
      <c r="A794" t="s">
        <v>34</v>
      </c>
      <c r="B794" t="s">
        <v>39</v>
      </c>
      <c r="C794" t="s">
        <v>40</v>
      </c>
      <c r="D794" t="s">
        <v>37</v>
      </c>
      <c r="E794" t="s">
        <v>24</v>
      </c>
      <c r="F794">
        <v>66</v>
      </c>
      <c r="G794">
        <v>74</v>
      </c>
      <c r="H794">
        <v>69</v>
      </c>
      <c r="J794">
        <v>66</v>
      </c>
      <c r="K794">
        <v>8.1240384050000003</v>
      </c>
      <c r="L794">
        <v>66</v>
      </c>
      <c r="M794">
        <v>74</v>
      </c>
      <c r="N794">
        <v>209</v>
      </c>
      <c r="O794">
        <v>69.666666669999998</v>
      </c>
      <c r="P794">
        <v>67.5</v>
      </c>
      <c r="Q794">
        <v>2</v>
      </c>
      <c r="R794">
        <v>8.35</v>
      </c>
      <c r="S794" t="s">
        <v>41</v>
      </c>
      <c r="T794" t="s">
        <v>42</v>
      </c>
      <c r="U794">
        <v>11</v>
      </c>
    </row>
    <row r="795" spans="1:21" x14ac:dyDescent="0.25">
      <c r="A795" t="s">
        <v>34</v>
      </c>
      <c r="B795" t="s">
        <v>64</v>
      </c>
      <c r="C795" t="s">
        <v>50</v>
      </c>
      <c r="D795" t="s">
        <v>23</v>
      </c>
      <c r="E795" t="s">
        <v>29</v>
      </c>
      <c r="F795">
        <v>89</v>
      </c>
      <c r="G795">
        <v>84</v>
      </c>
      <c r="H795">
        <v>77</v>
      </c>
      <c r="J795">
        <v>89</v>
      </c>
      <c r="K795">
        <v>9.4339811319999995</v>
      </c>
      <c r="L795">
        <v>77</v>
      </c>
      <c r="M795">
        <v>89</v>
      </c>
      <c r="N795">
        <v>250</v>
      </c>
      <c r="O795">
        <v>83.333333330000002</v>
      </c>
      <c r="P795">
        <v>86.5</v>
      </c>
      <c r="Q795">
        <v>4</v>
      </c>
      <c r="R795">
        <v>9.1300000000000008</v>
      </c>
      <c r="S795" t="s">
        <v>30</v>
      </c>
      <c r="T795" t="s">
        <v>42</v>
      </c>
      <c r="U795">
        <v>16</v>
      </c>
    </row>
    <row r="796" spans="1:21" x14ac:dyDescent="0.25">
      <c r="A796" t="s">
        <v>20</v>
      </c>
      <c r="B796" t="s">
        <v>21</v>
      </c>
      <c r="C796" t="s">
        <v>40</v>
      </c>
      <c r="D796" t="s">
        <v>23</v>
      </c>
      <c r="E796" t="s">
        <v>24</v>
      </c>
      <c r="F796">
        <v>42</v>
      </c>
      <c r="G796">
        <v>52</v>
      </c>
      <c r="H796">
        <v>51</v>
      </c>
      <c r="J796">
        <v>42</v>
      </c>
      <c r="K796">
        <v>6.480740698</v>
      </c>
      <c r="L796">
        <v>42</v>
      </c>
      <c r="M796">
        <v>52</v>
      </c>
      <c r="N796">
        <v>145</v>
      </c>
      <c r="O796">
        <v>48.333333330000002</v>
      </c>
      <c r="P796">
        <v>46.5</v>
      </c>
      <c r="Q796">
        <v>2</v>
      </c>
      <c r="R796">
        <v>6.95</v>
      </c>
      <c r="S796" t="s">
        <v>41</v>
      </c>
      <c r="T796" t="s">
        <v>42</v>
      </c>
      <c r="U796">
        <v>11</v>
      </c>
    </row>
    <row r="797" spans="1:21" x14ac:dyDescent="0.25">
      <c r="A797" t="s">
        <v>20</v>
      </c>
      <c r="B797" t="s">
        <v>64</v>
      </c>
      <c r="C797" t="s">
        <v>36</v>
      </c>
      <c r="D797" t="s">
        <v>37</v>
      </c>
      <c r="E797" t="s">
        <v>29</v>
      </c>
      <c r="F797">
        <v>57</v>
      </c>
      <c r="G797">
        <v>68</v>
      </c>
      <c r="H797">
        <v>73</v>
      </c>
      <c r="J797">
        <v>57</v>
      </c>
      <c r="K797">
        <v>7.5498344350000002</v>
      </c>
      <c r="L797">
        <v>57</v>
      </c>
      <c r="M797">
        <v>73</v>
      </c>
      <c r="N797">
        <v>198</v>
      </c>
      <c r="O797">
        <v>66</v>
      </c>
      <c r="P797">
        <v>62.5</v>
      </c>
      <c r="Q797">
        <v>1</v>
      </c>
      <c r="R797">
        <v>8.1199999999999992</v>
      </c>
      <c r="S797" t="s">
        <v>38</v>
      </c>
      <c r="T797" t="s">
        <v>26</v>
      </c>
      <c r="U797">
        <v>18</v>
      </c>
    </row>
    <row r="798" spans="1:21" x14ac:dyDescent="0.25">
      <c r="A798" t="s">
        <v>34</v>
      </c>
      <c r="B798" t="s">
        <v>39</v>
      </c>
      <c r="C798" t="s">
        <v>40</v>
      </c>
      <c r="D798" t="s">
        <v>23</v>
      </c>
      <c r="E798" t="s">
        <v>24</v>
      </c>
      <c r="F798">
        <v>70</v>
      </c>
      <c r="G798">
        <v>70</v>
      </c>
      <c r="H798">
        <v>70</v>
      </c>
      <c r="J798">
        <v>70</v>
      </c>
      <c r="K798">
        <v>8.3666002650000006</v>
      </c>
      <c r="L798">
        <v>70</v>
      </c>
      <c r="M798">
        <v>70</v>
      </c>
      <c r="N798">
        <v>210</v>
      </c>
      <c r="O798">
        <v>70</v>
      </c>
      <c r="P798">
        <v>70</v>
      </c>
      <c r="Q798">
        <v>1</v>
      </c>
      <c r="R798">
        <v>8.3699999999999992</v>
      </c>
      <c r="S798" t="s">
        <v>41</v>
      </c>
      <c r="T798" t="s">
        <v>42</v>
      </c>
      <c r="U798">
        <v>11</v>
      </c>
    </row>
    <row r="799" spans="1:21" x14ac:dyDescent="0.25">
      <c r="A799" t="s">
        <v>20</v>
      </c>
      <c r="B799" t="s">
        <v>64</v>
      </c>
      <c r="C799" t="s">
        <v>36</v>
      </c>
      <c r="D799" t="s">
        <v>37</v>
      </c>
      <c r="E799" t="s">
        <v>24</v>
      </c>
      <c r="F799">
        <v>70</v>
      </c>
      <c r="G799">
        <v>84</v>
      </c>
      <c r="H799">
        <v>81</v>
      </c>
      <c r="J799">
        <v>70</v>
      </c>
      <c r="K799">
        <v>8.3666002650000006</v>
      </c>
      <c r="L799">
        <v>70</v>
      </c>
      <c r="M799">
        <v>84</v>
      </c>
      <c r="N799">
        <v>235</v>
      </c>
      <c r="O799">
        <v>78.333333330000002</v>
      </c>
      <c r="P799">
        <v>75.5</v>
      </c>
      <c r="Q799">
        <v>2</v>
      </c>
      <c r="R799">
        <v>8.85</v>
      </c>
      <c r="S799" t="s">
        <v>38</v>
      </c>
      <c r="T799" t="s">
        <v>26</v>
      </c>
      <c r="U799">
        <v>18</v>
      </c>
    </row>
    <row r="800" spans="1:21" x14ac:dyDescent="0.25">
      <c r="A800" t="s">
        <v>34</v>
      </c>
      <c r="B800" t="s">
        <v>64</v>
      </c>
      <c r="C800" t="s">
        <v>28</v>
      </c>
      <c r="D800" t="s">
        <v>23</v>
      </c>
      <c r="E800" t="s">
        <v>24</v>
      </c>
      <c r="F800">
        <v>69</v>
      </c>
      <c r="G800">
        <v>60</v>
      </c>
      <c r="H800">
        <v>54</v>
      </c>
      <c r="J800">
        <v>69</v>
      </c>
      <c r="K800">
        <v>8.3066238630000004</v>
      </c>
      <c r="L800">
        <v>54</v>
      </c>
      <c r="M800">
        <v>69</v>
      </c>
      <c r="N800">
        <v>183</v>
      </c>
      <c r="O800">
        <v>61</v>
      </c>
      <c r="P800">
        <v>64.5</v>
      </c>
      <c r="Q800">
        <v>4</v>
      </c>
      <c r="R800">
        <v>7.81</v>
      </c>
      <c r="S800" t="s">
        <v>30</v>
      </c>
      <c r="T800" t="s">
        <v>31</v>
      </c>
      <c r="U800">
        <v>12</v>
      </c>
    </row>
    <row r="801" spans="1:21" x14ac:dyDescent="0.25">
      <c r="A801" t="s">
        <v>20</v>
      </c>
      <c r="B801" t="s">
        <v>27</v>
      </c>
      <c r="C801" t="s">
        <v>36</v>
      </c>
      <c r="D801" t="s">
        <v>23</v>
      </c>
      <c r="E801" t="s">
        <v>24</v>
      </c>
      <c r="F801">
        <v>52</v>
      </c>
      <c r="G801">
        <v>55</v>
      </c>
      <c r="H801">
        <v>57</v>
      </c>
      <c r="J801">
        <v>52</v>
      </c>
      <c r="K801">
        <v>7.2111025509999997</v>
      </c>
      <c r="L801">
        <v>52</v>
      </c>
      <c r="M801">
        <v>57</v>
      </c>
      <c r="N801">
        <v>164</v>
      </c>
      <c r="O801">
        <v>54.666666669999998</v>
      </c>
      <c r="P801">
        <v>53.5</v>
      </c>
      <c r="Q801">
        <v>1</v>
      </c>
      <c r="R801">
        <v>7.39</v>
      </c>
      <c r="S801" t="s">
        <v>38</v>
      </c>
      <c r="T801" t="s">
        <v>26</v>
      </c>
      <c r="U801">
        <v>18</v>
      </c>
    </row>
    <row r="802" spans="1:21" x14ac:dyDescent="0.25">
      <c r="A802" t="s">
        <v>34</v>
      </c>
      <c r="B802" t="s">
        <v>27</v>
      </c>
      <c r="C802" t="s">
        <v>50</v>
      </c>
      <c r="D802" t="s">
        <v>23</v>
      </c>
      <c r="E802" t="s">
        <v>29</v>
      </c>
      <c r="F802">
        <v>67</v>
      </c>
      <c r="G802">
        <v>73</v>
      </c>
      <c r="H802">
        <v>68</v>
      </c>
      <c r="J802">
        <v>67</v>
      </c>
      <c r="K802">
        <v>8.1853527719999999</v>
      </c>
      <c r="L802">
        <v>67</v>
      </c>
      <c r="M802">
        <v>73</v>
      </c>
      <c r="N802">
        <v>208</v>
      </c>
      <c r="O802">
        <v>69.333333330000002</v>
      </c>
      <c r="P802">
        <v>67.5</v>
      </c>
      <c r="Q802">
        <v>2</v>
      </c>
      <c r="R802">
        <v>8.33</v>
      </c>
      <c r="S802" t="s">
        <v>30</v>
      </c>
      <c r="T802" t="s">
        <v>42</v>
      </c>
      <c r="U802">
        <v>16</v>
      </c>
    </row>
    <row r="803" spans="1:21" x14ac:dyDescent="0.25">
      <c r="A803" t="s">
        <v>34</v>
      </c>
      <c r="B803" t="s">
        <v>27</v>
      </c>
      <c r="C803" t="s">
        <v>50</v>
      </c>
      <c r="D803" t="s">
        <v>23</v>
      </c>
      <c r="E803" t="s">
        <v>29</v>
      </c>
      <c r="F803">
        <v>76</v>
      </c>
      <c r="G803">
        <v>80</v>
      </c>
      <c r="H803">
        <v>73</v>
      </c>
      <c r="J803">
        <v>76</v>
      </c>
      <c r="K803">
        <v>8.7177978869999997</v>
      </c>
      <c r="L803">
        <v>73</v>
      </c>
      <c r="M803">
        <v>80</v>
      </c>
      <c r="N803">
        <v>229</v>
      </c>
      <c r="O803">
        <v>76.333333330000002</v>
      </c>
      <c r="P803">
        <v>76</v>
      </c>
      <c r="Q803">
        <v>4</v>
      </c>
      <c r="R803">
        <v>8.74</v>
      </c>
      <c r="S803" t="s">
        <v>30</v>
      </c>
      <c r="T803" t="s">
        <v>42</v>
      </c>
      <c r="U803">
        <v>16</v>
      </c>
    </row>
    <row r="804" spans="1:21" x14ac:dyDescent="0.25">
      <c r="A804" t="s">
        <v>20</v>
      </c>
      <c r="B804" t="s">
        <v>64</v>
      </c>
      <c r="C804" t="s">
        <v>36</v>
      </c>
      <c r="D804" t="s">
        <v>23</v>
      </c>
      <c r="E804" t="s">
        <v>24</v>
      </c>
      <c r="F804">
        <v>87</v>
      </c>
      <c r="G804">
        <v>94</v>
      </c>
      <c r="H804">
        <v>95</v>
      </c>
      <c r="J804">
        <v>87</v>
      </c>
      <c r="K804">
        <v>9.3273790529999996</v>
      </c>
      <c r="L804">
        <v>87</v>
      </c>
      <c r="M804">
        <v>95</v>
      </c>
      <c r="N804">
        <v>276</v>
      </c>
      <c r="O804">
        <v>92</v>
      </c>
      <c r="P804">
        <v>90.5</v>
      </c>
      <c r="Q804">
        <v>1</v>
      </c>
      <c r="R804">
        <v>9.59</v>
      </c>
      <c r="S804" t="s">
        <v>38</v>
      </c>
      <c r="T804" t="s">
        <v>26</v>
      </c>
      <c r="U804">
        <v>18</v>
      </c>
    </row>
    <row r="805" spans="1:21" x14ac:dyDescent="0.25">
      <c r="A805" t="s">
        <v>20</v>
      </c>
      <c r="B805" t="s">
        <v>21</v>
      </c>
      <c r="C805" t="s">
        <v>28</v>
      </c>
      <c r="D805" t="s">
        <v>23</v>
      </c>
      <c r="E805" t="s">
        <v>24</v>
      </c>
      <c r="F805">
        <v>82</v>
      </c>
      <c r="G805">
        <v>85</v>
      </c>
      <c r="H805">
        <v>87</v>
      </c>
      <c r="J805">
        <v>82</v>
      </c>
      <c r="K805">
        <v>9.0553851380000001</v>
      </c>
      <c r="L805">
        <v>82</v>
      </c>
      <c r="M805">
        <v>87</v>
      </c>
      <c r="N805">
        <v>254</v>
      </c>
      <c r="O805">
        <v>84.666666669999998</v>
      </c>
      <c r="P805">
        <v>83.5</v>
      </c>
      <c r="Q805">
        <v>1</v>
      </c>
      <c r="R805">
        <v>9.1999999999999993</v>
      </c>
      <c r="S805" t="s">
        <v>30</v>
      </c>
      <c r="T805" t="s">
        <v>31</v>
      </c>
      <c r="U805">
        <v>12</v>
      </c>
    </row>
    <row r="806" spans="1:21" x14ac:dyDescent="0.25">
      <c r="A806" t="s">
        <v>20</v>
      </c>
      <c r="B806" t="s">
        <v>27</v>
      </c>
      <c r="C806" t="s">
        <v>28</v>
      </c>
      <c r="D806" t="s">
        <v>23</v>
      </c>
      <c r="E806" t="s">
        <v>24</v>
      </c>
      <c r="F806">
        <v>73</v>
      </c>
      <c r="G806">
        <v>76</v>
      </c>
      <c r="H806">
        <v>78</v>
      </c>
      <c r="J806">
        <v>73</v>
      </c>
      <c r="K806">
        <v>8.5440037449999995</v>
      </c>
      <c r="L806">
        <v>73</v>
      </c>
      <c r="M806">
        <v>78</v>
      </c>
      <c r="N806">
        <v>227</v>
      </c>
      <c r="O806">
        <v>75.666666669999998</v>
      </c>
      <c r="P806">
        <v>74.5</v>
      </c>
      <c r="Q806">
        <v>1</v>
      </c>
      <c r="R806">
        <v>8.6999999999999993</v>
      </c>
      <c r="S806" t="s">
        <v>30</v>
      </c>
      <c r="T806" t="s">
        <v>31</v>
      </c>
      <c r="U806">
        <v>12</v>
      </c>
    </row>
    <row r="807" spans="1:21" x14ac:dyDescent="0.25">
      <c r="A807" t="s">
        <v>34</v>
      </c>
      <c r="B807" t="s">
        <v>35</v>
      </c>
      <c r="C807" t="s">
        <v>28</v>
      </c>
      <c r="D807" t="s">
        <v>37</v>
      </c>
      <c r="E807" t="s">
        <v>24</v>
      </c>
      <c r="F807">
        <v>75</v>
      </c>
      <c r="G807">
        <v>81</v>
      </c>
      <c r="H807">
        <v>74</v>
      </c>
      <c r="J807">
        <v>75</v>
      </c>
      <c r="K807">
        <v>8.6602540379999997</v>
      </c>
      <c r="L807">
        <v>74</v>
      </c>
      <c r="M807">
        <v>81</v>
      </c>
      <c r="N807">
        <v>230</v>
      </c>
      <c r="O807">
        <v>76.666666669999998</v>
      </c>
      <c r="P807">
        <v>75</v>
      </c>
      <c r="Q807">
        <v>4</v>
      </c>
      <c r="R807">
        <v>8.76</v>
      </c>
      <c r="S807" t="s">
        <v>30</v>
      </c>
      <c r="T807" t="s">
        <v>31</v>
      </c>
      <c r="U807">
        <v>12</v>
      </c>
    </row>
    <row r="808" spans="1:21" x14ac:dyDescent="0.25">
      <c r="A808" t="s">
        <v>20</v>
      </c>
      <c r="B808" t="s">
        <v>39</v>
      </c>
      <c r="C808" t="s">
        <v>28</v>
      </c>
      <c r="D808" t="s">
        <v>37</v>
      </c>
      <c r="E808" t="s">
        <v>24</v>
      </c>
      <c r="F808">
        <v>64</v>
      </c>
      <c r="G808">
        <v>74</v>
      </c>
      <c r="H808">
        <v>75</v>
      </c>
      <c r="J808">
        <v>64</v>
      </c>
      <c r="K808">
        <v>8</v>
      </c>
      <c r="L808">
        <v>64</v>
      </c>
      <c r="M808">
        <v>75</v>
      </c>
      <c r="N808">
        <v>213</v>
      </c>
      <c r="O808">
        <v>71</v>
      </c>
      <c r="P808">
        <v>69</v>
      </c>
      <c r="Q808">
        <v>1</v>
      </c>
      <c r="R808">
        <v>8.43</v>
      </c>
      <c r="S808" t="s">
        <v>30</v>
      </c>
      <c r="T808" t="s">
        <v>31</v>
      </c>
      <c r="U808">
        <v>12</v>
      </c>
    </row>
    <row r="809" spans="1:21" x14ac:dyDescent="0.25">
      <c r="A809" t="s">
        <v>20</v>
      </c>
      <c r="B809" t="s">
        <v>64</v>
      </c>
      <c r="C809" t="s">
        <v>40</v>
      </c>
      <c r="D809" t="s">
        <v>37</v>
      </c>
      <c r="E809" t="s">
        <v>24</v>
      </c>
      <c r="F809">
        <v>41</v>
      </c>
      <c r="G809">
        <v>45</v>
      </c>
      <c r="H809">
        <v>40</v>
      </c>
      <c r="J809">
        <v>41</v>
      </c>
      <c r="K809">
        <v>6.4031242370000001</v>
      </c>
      <c r="L809">
        <v>40</v>
      </c>
      <c r="M809">
        <v>45</v>
      </c>
      <c r="N809">
        <v>126</v>
      </c>
      <c r="O809">
        <v>42</v>
      </c>
      <c r="P809">
        <v>41</v>
      </c>
      <c r="Q809">
        <v>4</v>
      </c>
      <c r="R809">
        <v>6.48</v>
      </c>
      <c r="S809" t="s">
        <v>41</v>
      </c>
      <c r="T809" t="s">
        <v>42</v>
      </c>
      <c r="U809">
        <v>11</v>
      </c>
    </row>
    <row r="810" spans="1:21" x14ac:dyDescent="0.25">
      <c r="A810" t="s">
        <v>34</v>
      </c>
      <c r="B810" t="s">
        <v>27</v>
      </c>
      <c r="C810" t="s">
        <v>40</v>
      </c>
      <c r="D810" t="s">
        <v>23</v>
      </c>
      <c r="E810" t="s">
        <v>24</v>
      </c>
      <c r="F810">
        <v>90</v>
      </c>
      <c r="G810">
        <v>75</v>
      </c>
      <c r="H810">
        <v>69</v>
      </c>
      <c r="J810">
        <v>90</v>
      </c>
      <c r="K810">
        <v>9.4868329809999992</v>
      </c>
      <c r="L810">
        <v>69</v>
      </c>
      <c r="M810">
        <v>90</v>
      </c>
      <c r="N810">
        <v>234</v>
      </c>
      <c r="O810">
        <v>78</v>
      </c>
      <c r="P810">
        <v>82.5</v>
      </c>
      <c r="Q810">
        <v>4</v>
      </c>
      <c r="R810">
        <v>8.83</v>
      </c>
      <c r="S810" t="s">
        <v>41</v>
      </c>
      <c r="T810" t="s">
        <v>42</v>
      </c>
      <c r="U810">
        <v>11</v>
      </c>
    </row>
    <row r="811" spans="1:21" x14ac:dyDescent="0.25">
      <c r="A811" t="s">
        <v>34</v>
      </c>
      <c r="B811" t="s">
        <v>21</v>
      </c>
      <c r="C811" t="s">
        <v>22</v>
      </c>
      <c r="D811" t="s">
        <v>23</v>
      </c>
      <c r="E811" t="s">
        <v>24</v>
      </c>
      <c r="F811">
        <v>59</v>
      </c>
      <c r="G811">
        <v>54</v>
      </c>
      <c r="H811">
        <v>51</v>
      </c>
      <c r="J811">
        <v>59</v>
      </c>
      <c r="K811">
        <v>7.6811457479999996</v>
      </c>
      <c r="L811">
        <v>51</v>
      </c>
      <c r="M811">
        <v>59</v>
      </c>
      <c r="N811">
        <v>164</v>
      </c>
      <c r="O811">
        <v>54.666666669999998</v>
      </c>
      <c r="P811">
        <v>56.5</v>
      </c>
      <c r="Q811">
        <v>4</v>
      </c>
      <c r="R811">
        <v>7.39</v>
      </c>
      <c r="S811" t="s">
        <v>25</v>
      </c>
      <c r="T811" t="s">
        <v>26</v>
      </c>
      <c r="U811">
        <v>17</v>
      </c>
    </row>
    <row r="812" spans="1:21" x14ac:dyDescent="0.25">
      <c r="A812" t="s">
        <v>34</v>
      </c>
      <c r="B812" t="s">
        <v>35</v>
      </c>
      <c r="C812" t="s">
        <v>50</v>
      </c>
      <c r="D812" t="s">
        <v>23</v>
      </c>
      <c r="E812" t="s">
        <v>24</v>
      </c>
      <c r="F812">
        <v>51</v>
      </c>
      <c r="G812">
        <v>31</v>
      </c>
      <c r="H812">
        <v>36</v>
      </c>
      <c r="J812">
        <v>51</v>
      </c>
      <c r="K812">
        <v>7.1414284290000003</v>
      </c>
      <c r="L812">
        <v>31</v>
      </c>
      <c r="M812">
        <v>51</v>
      </c>
      <c r="N812">
        <v>118</v>
      </c>
      <c r="O812">
        <v>39.333333330000002</v>
      </c>
      <c r="P812">
        <v>43.5</v>
      </c>
      <c r="Q812">
        <v>3</v>
      </c>
      <c r="R812">
        <v>6.27</v>
      </c>
      <c r="S812" t="s">
        <v>30</v>
      </c>
      <c r="T812" t="s">
        <v>42</v>
      </c>
      <c r="U812">
        <v>16</v>
      </c>
    </row>
    <row r="813" spans="1:21" x14ac:dyDescent="0.25">
      <c r="A813" t="s">
        <v>34</v>
      </c>
      <c r="B813" t="s">
        <v>35</v>
      </c>
      <c r="C813" t="s">
        <v>40</v>
      </c>
      <c r="D813" t="s">
        <v>37</v>
      </c>
      <c r="E813" t="s">
        <v>24</v>
      </c>
      <c r="F813">
        <v>45</v>
      </c>
      <c r="G813">
        <v>47</v>
      </c>
      <c r="H813">
        <v>49</v>
      </c>
      <c r="J813">
        <v>45</v>
      </c>
      <c r="K813">
        <v>6.708203932</v>
      </c>
      <c r="L813">
        <v>45</v>
      </c>
      <c r="M813">
        <v>49</v>
      </c>
      <c r="N813">
        <v>141</v>
      </c>
      <c r="O813">
        <v>47</v>
      </c>
      <c r="P813">
        <v>46</v>
      </c>
      <c r="Q813">
        <v>1</v>
      </c>
      <c r="R813">
        <v>6.86</v>
      </c>
      <c r="S813" t="s">
        <v>41</v>
      </c>
      <c r="T813" t="s">
        <v>42</v>
      </c>
      <c r="U813">
        <v>11</v>
      </c>
    </row>
    <row r="814" spans="1:21" x14ac:dyDescent="0.25">
      <c r="A814" t="s">
        <v>20</v>
      </c>
      <c r="B814" t="s">
        <v>27</v>
      </c>
      <c r="C814" t="s">
        <v>32</v>
      </c>
      <c r="D814" t="s">
        <v>23</v>
      </c>
      <c r="E814" t="s">
        <v>29</v>
      </c>
      <c r="F814">
        <v>54</v>
      </c>
      <c r="G814">
        <v>64</v>
      </c>
      <c r="H814">
        <v>67</v>
      </c>
      <c r="J814">
        <v>54</v>
      </c>
      <c r="K814">
        <v>7.3484692279999999</v>
      </c>
      <c r="L814">
        <v>54</v>
      </c>
      <c r="M814">
        <v>67</v>
      </c>
      <c r="N814">
        <v>185</v>
      </c>
      <c r="O814">
        <v>61.666666669999998</v>
      </c>
      <c r="P814">
        <v>59</v>
      </c>
      <c r="Q814">
        <v>1</v>
      </c>
      <c r="R814">
        <v>7.85</v>
      </c>
      <c r="S814" t="s">
        <v>33</v>
      </c>
      <c r="T814" t="s">
        <v>26</v>
      </c>
      <c r="U814">
        <v>15</v>
      </c>
    </row>
    <row r="815" spans="1:21" x14ac:dyDescent="0.25">
      <c r="A815" t="s">
        <v>34</v>
      </c>
      <c r="B815" t="s">
        <v>64</v>
      </c>
      <c r="C815" t="s">
        <v>50</v>
      </c>
      <c r="D815" t="s">
        <v>23</v>
      </c>
      <c r="E815" t="s">
        <v>29</v>
      </c>
      <c r="F815">
        <v>87</v>
      </c>
      <c r="G815">
        <v>84</v>
      </c>
      <c r="H815">
        <v>76</v>
      </c>
      <c r="J815">
        <v>87</v>
      </c>
      <c r="K815">
        <v>9.3273790529999996</v>
      </c>
      <c r="L815">
        <v>76</v>
      </c>
      <c r="M815">
        <v>87</v>
      </c>
      <c r="N815">
        <v>247</v>
      </c>
      <c r="O815">
        <v>82.333333330000002</v>
      </c>
      <c r="P815">
        <v>85.5</v>
      </c>
      <c r="Q815">
        <v>4</v>
      </c>
      <c r="R815">
        <v>9.07</v>
      </c>
      <c r="S815" t="s">
        <v>30</v>
      </c>
      <c r="T815" t="s">
        <v>42</v>
      </c>
      <c r="U815">
        <v>16</v>
      </c>
    </row>
    <row r="816" spans="1:21" x14ac:dyDescent="0.25">
      <c r="A816" t="s">
        <v>20</v>
      </c>
      <c r="B816" t="s">
        <v>27</v>
      </c>
      <c r="C816" t="s">
        <v>40</v>
      </c>
      <c r="D816" t="s">
        <v>23</v>
      </c>
      <c r="E816" t="s">
        <v>24</v>
      </c>
      <c r="F816">
        <v>72</v>
      </c>
      <c r="G816">
        <v>80</v>
      </c>
      <c r="H816">
        <v>83</v>
      </c>
      <c r="J816">
        <v>72</v>
      </c>
      <c r="K816">
        <v>8.4852813739999995</v>
      </c>
      <c r="L816">
        <v>72</v>
      </c>
      <c r="M816">
        <v>83</v>
      </c>
      <c r="N816">
        <v>235</v>
      </c>
      <c r="O816">
        <v>78.333333330000002</v>
      </c>
      <c r="P816">
        <v>76</v>
      </c>
      <c r="Q816">
        <v>1</v>
      </c>
      <c r="R816">
        <v>8.85</v>
      </c>
      <c r="S816" t="s">
        <v>41</v>
      </c>
      <c r="T816" t="s">
        <v>42</v>
      </c>
      <c r="U816">
        <v>11</v>
      </c>
    </row>
    <row r="817" spans="1:21" x14ac:dyDescent="0.25">
      <c r="A817" t="s">
        <v>34</v>
      </c>
      <c r="B817" t="s">
        <v>21</v>
      </c>
      <c r="C817" t="s">
        <v>50</v>
      </c>
      <c r="D817" t="s">
        <v>23</v>
      </c>
      <c r="E817" t="s">
        <v>29</v>
      </c>
      <c r="F817">
        <v>94</v>
      </c>
      <c r="G817">
        <v>86</v>
      </c>
      <c r="H817">
        <v>87</v>
      </c>
      <c r="J817">
        <v>94</v>
      </c>
      <c r="K817">
        <v>9.6953597150000004</v>
      </c>
      <c r="L817">
        <v>86</v>
      </c>
      <c r="M817">
        <v>94</v>
      </c>
      <c r="N817">
        <v>267</v>
      </c>
      <c r="O817">
        <v>89</v>
      </c>
      <c r="P817">
        <v>90.5</v>
      </c>
      <c r="Q817">
        <v>3</v>
      </c>
      <c r="R817">
        <v>9.43</v>
      </c>
      <c r="S817" t="s">
        <v>30</v>
      </c>
      <c r="T817" t="s">
        <v>42</v>
      </c>
      <c r="U817">
        <v>16</v>
      </c>
    </row>
    <row r="818" spans="1:21" x14ac:dyDescent="0.25">
      <c r="A818" t="s">
        <v>20</v>
      </c>
      <c r="B818" t="s">
        <v>35</v>
      </c>
      <c r="C818" t="s">
        <v>22</v>
      </c>
      <c r="D818" t="s">
        <v>23</v>
      </c>
      <c r="E818" t="s">
        <v>24</v>
      </c>
      <c r="F818">
        <v>45</v>
      </c>
      <c r="G818">
        <v>59</v>
      </c>
      <c r="H818">
        <v>64</v>
      </c>
      <c r="J818">
        <v>45</v>
      </c>
      <c r="K818">
        <v>6.708203932</v>
      </c>
      <c r="L818">
        <v>45</v>
      </c>
      <c r="M818">
        <v>64</v>
      </c>
      <c r="N818">
        <v>168</v>
      </c>
      <c r="O818">
        <v>56</v>
      </c>
      <c r="P818">
        <v>52</v>
      </c>
      <c r="Q818">
        <v>1</v>
      </c>
      <c r="R818">
        <v>7.48</v>
      </c>
      <c r="S818" t="s">
        <v>25</v>
      </c>
      <c r="T818" t="s">
        <v>26</v>
      </c>
      <c r="U818">
        <v>17</v>
      </c>
    </row>
    <row r="819" spans="1:21" x14ac:dyDescent="0.25">
      <c r="A819" t="s">
        <v>34</v>
      </c>
      <c r="B819" t="s">
        <v>39</v>
      </c>
      <c r="C819" t="s">
        <v>22</v>
      </c>
      <c r="D819" t="s">
        <v>37</v>
      </c>
      <c r="E819" t="s">
        <v>29</v>
      </c>
      <c r="F819">
        <v>61</v>
      </c>
      <c r="G819">
        <v>70</v>
      </c>
      <c r="H819">
        <v>76</v>
      </c>
      <c r="J819">
        <v>61</v>
      </c>
      <c r="K819">
        <v>7.8102496759999998</v>
      </c>
      <c r="L819">
        <v>61</v>
      </c>
      <c r="M819">
        <v>76</v>
      </c>
      <c r="N819">
        <v>207</v>
      </c>
      <c r="O819">
        <v>69</v>
      </c>
      <c r="P819">
        <v>65.5</v>
      </c>
      <c r="Q819">
        <v>1</v>
      </c>
      <c r="R819">
        <v>8.31</v>
      </c>
      <c r="S819" t="s">
        <v>25</v>
      </c>
      <c r="T819" t="s">
        <v>26</v>
      </c>
      <c r="U819">
        <v>17</v>
      </c>
    </row>
    <row r="820" spans="1:21" x14ac:dyDescent="0.25">
      <c r="A820" t="s">
        <v>20</v>
      </c>
      <c r="B820" t="s">
        <v>21</v>
      </c>
      <c r="C820" t="s">
        <v>40</v>
      </c>
      <c r="D820" t="s">
        <v>37</v>
      </c>
      <c r="E820" t="s">
        <v>24</v>
      </c>
      <c r="F820">
        <v>60</v>
      </c>
      <c r="G820">
        <v>72</v>
      </c>
      <c r="H820">
        <v>68</v>
      </c>
      <c r="J820">
        <v>60</v>
      </c>
      <c r="K820">
        <v>7.7459666919999997</v>
      </c>
      <c r="L820">
        <v>60</v>
      </c>
      <c r="M820">
        <v>72</v>
      </c>
      <c r="N820">
        <v>200</v>
      </c>
      <c r="O820">
        <v>66.666666669999998</v>
      </c>
      <c r="P820">
        <v>64</v>
      </c>
      <c r="Q820">
        <v>2</v>
      </c>
      <c r="R820">
        <v>8.16</v>
      </c>
      <c r="S820" t="s">
        <v>41</v>
      </c>
      <c r="T820" t="s">
        <v>42</v>
      </c>
      <c r="U820">
        <v>11</v>
      </c>
    </row>
    <row r="821" spans="1:21" x14ac:dyDescent="0.25">
      <c r="A821" t="s">
        <v>20</v>
      </c>
      <c r="B821" t="s">
        <v>27</v>
      </c>
      <c r="C821" t="s">
        <v>50</v>
      </c>
      <c r="D821" t="s">
        <v>23</v>
      </c>
      <c r="E821" t="s">
        <v>24</v>
      </c>
      <c r="F821">
        <v>77</v>
      </c>
      <c r="G821">
        <v>91</v>
      </c>
      <c r="H821">
        <v>88</v>
      </c>
      <c r="J821">
        <v>77</v>
      </c>
      <c r="K821">
        <v>8.7749643870000007</v>
      </c>
      <c r="L821">
        <v>77</v>
      </c>
      <c r="M821">
        <v>91</v>
      </c>
      <c r="N821">
        <v>256</v>
      </c>
      <c r="O821">
        <v>85.333333330000002</v>
      </c>
      <c r="P821">
        <v>82.5</v>
      </c>
      <c r="Q821">
        <v>2</v>
      </c>
      <c r="R821">
        <v>9.24</v>
      </c>
      <c r="S821" t="s">
        <v>30</v>
      </c>
      <c r="T821" t="s">
        <v>42</v>
      </c>
      <c r="U821">
        <v>16</v>
      </c>
    </row>
    <row r="822" spans="1:21" x14ac:dyDescent="0.25">
      <c r="A822" t="s">
        <v>20</v>
      </c>
      <c r="B822" t="s">
        <v>35</v>
      </c>
      <c r="C822" t="s">
        <v>50</v>
      </c>
      <c r="D822" t="s">
        <v>23</v>
      </c>
      <c r="E822" t="s">
        <v>29</v>
      </c>
      <c r="F822">
        <v>85</v>
      </c>
      <c r="G822">
        <v>90</v>
      </c>
      <c r="H822">
        <v>92</v>
      </c>
      <c r="J822">
        <v>85</v>
      </c>
      <c r="K822">
        <v>9.2195444569999996</v>
      </c>
      <c r="L822">
        <v>85</v>
      </c>
      <c r="M822">
        <v>92</v>
      </c>
      <c r="N822">
        <v>267</v>
      </c>
      <c r="O822">
        <v>89</v>
      </c>
      <c r="P822">
        <v>87.5</v>
      </c>
      <c r="Q822">
        <v>1</v>
      </c>
      <c r="R822">
        <v>9.43</v>
      </c>
      <c r="S822" t="s">
        <v>30</v>
      </c>
      <c r="T822" t="s">
        <v>42</v>
      </c>
      <c r="U822">
        <v>16</v>
      </c>
    </row>
    <row r="823" spans="1:21" x14ac:dyDescent="0.25">
      <c r="A823" t="s">
        <v>20</v>
      </c>
      <c r="B823" t="s">
        <v>39</v>
      </c>
      <c r="C823" t="s">
        <v>22</v>
      </c>
      <c r="D823" t="s">
        <v>37</v>
      </c>
      <c r="E823" t="s">
        <v>24</v>
      </c>
      <c r="F823">
        <v>78</v>
      </c>
      <c r="G823">
        <v>90</v>
      </c>
      <c r="H823">
        <v>93</v>
      </c>
      <c r="J823">
        <v>78</v>
      </c>
      <c r="K823">
        <v>8.8317608659999998</v>
      </c>
      <c r="L823">
        <v>78</v>
      </c>
      <c r="M823">
        <v>93</v>
      </c>
      <c r="N823">
        <v>261</v>
      </c>
      <c r="O823">
        <v>87</v>
      </c>
      <c r="P823">
        <v>84</v>
      </c>
      <c r="Q823">
        <v>1</v>
      </c>
      <c r="R823">
        <v>9.33</v>
      </c>
      <c r="S823" t="s">
        <v>25</v>
      </c>
      <c r="T823" t="s">
        <v>26</v>
      </c>
      <c r="U823">
        <v>17</v>
      </c>
    </row>
    <row r="824" spans="1:21" x14ac:dyDescent="0.25">
      <c r="A824" t="s">
        <v>34</v>
      </c>
      <c r="B824" t="s">
        <v>64</v>
      </c>
      <c r="C824" t="s">
        <v>28</v>
      </c>
      <c r="D824" t="s">
        <v>37</v>
      </c>
      <c r="E824" t="s">
        <v>29</v>
      </c>
      <c r="F824">
        <v>49</v>
      </c>
      <c r="G824">
        <v>52</v>
      </c>
      <c r="H824">
        <v>51</v>
      </c>
      <c r="J824">
        <v>49</v>
      </c>
      <c r="K824">
        <v>7</v>
      </c>
      <c r="L824">
        <v>49</v>
      </c>
      <c r="M824">
        <v>52</v>
      </c>
      <c r="N824">
        <v>152</v>
      </c>
      <c r="O824">
        <v>50.666666669999998</v>
      </c>
      <c r="P824">
        <v>50</v>
      </c>
      <c r="Q824">
        <v>2</v>
      </c>
      <c r="R824">
        <v>7.12</v>
      </c>
      <c r="S824" t="s">
        <v>30</v>
      </c>
      <c r="T824" t="s">
        <v>31</v>
      </c>
      <c r="U824">
        <v>12</v>
      </c>
    </row>
    <row r="825" spans="1:21" x14ac:dyDescent="0.25">
      <c r="A825" t="s">
        <v>20</v>
      </c>
      <c r="B825" t="s">
        <v>21</v>
      </c>
      <c r="C825" t="s">
        <v>40</v>
      </c>
      <c r="D825" t="s">
        <v>37</v>
      </c>
      <c r="E825" t="s">
        <v>24</v>
      </c>
      <c r="F825">
        <v>71</v>
      </c>
      <c r="G825">
        <v>87</v>
      </c>
      <c r="H825">
        <v>82</v>
      </c>
      <c r="J825">
        <v>71</v>
      </c>
      <c r="K825">
        <v>8.4261497730000006</v>
      </c>
      <c r="L825">
        <v>71</v>
      </c>
      <c r="M825">
        <v>87</v>
      </c>
      <c r="N825">
        <v>240</v>
      </c>
      <c r="O825">
        <v>80</v>
      </c>
      <c r="P825">
        <v>76.5</v>
      </c>
      <c r="Q825">
        <v>2</v>
      </c>
      <c r="R825">
        <v>8.94</v>
      </c>
      <c r="S825" t="s">
        <v>41</v>
      </c>
      <c r="T825" t="s">
        <v>42</v>
      </c>
      <c r="U825">
        <v>11</v>
      </c>
    </row>
    <row r="826" spans="1:21" x14ac:dyDescent="0.25">
      <c r="A826" t="s">
        <v>20</v>
      </c>
      <c r="B826" t="s">
        <v>27</v>
      </c>
      <c r="C826" t="s">
        <v>50</v>
      </c>
      <c r="D826" t="s">
        <v>37</v>
      </c>
      <c r="E826" t="s">
        <v>24</v>
      </c>
      <c r="F826">
        <v>48</v>
      </c>
      <c r="G826">
        <v>58</v>
      </c>
      <c r="H826">
        <v>52</v>
      </c>
      <c r="J826">
        <v>48</v>
      </c>
      <c r="K826">
        <v>6.9282032300000003</v>
      </c>
      <c r="L826">
        <v>48</v>
      </c>
      <c r="M826">
        <v>58</v>
      </c>
      <c r="N826">
        <v>158</v>
      </c>
      <c r="O826">
        <v>52.666666669999998</v>
      </c>
      <c r="P826">
        <v>50</v>
      </c>
      <c r="Q826">
        <v>2</v>
      </c>
      <c r="R826">
        <v>7.26</v>
      </c>
      <c r="S826" t="s">
        <v>30</v>
      </c>
      <c r="T826" t="s">
        <v>42</v>
      </c>
      <c r="U826">
        <v>16</v>
      </c>
    </row>
    <row r="827" spans="1:21" x14ac:dyDescent="0.25">
      <c r="A827" t="s">
        <v>34</v>
      </c>
      <c r="B827" t="s">
        <v>27</v>
      </c>
      <c r="C827" t="s">
        <v>40</v>
      </c>
      <c r="D827" t="s">
        <v>23</v>
      </c>
      <c r="E827" t="s">
        <v>24</v>
      </c>
      <c r="F827">
        <v>62</v>
      </c>
      <c r="G827">
        <v>67</v>
      </c>
      <c r="H827">
        <v>58</v>
      </c>
      <c r="J827">
        <v>62</v>
      </c>
      <c r="K827">
        <v>7.8740078740000001</v>
      </c>
      <c r="L827">
        <v>58</v>
      </c>
      <c r="M827">
        <v>67</v>
      </c>
      <c r="N827">
        <v>187</v>
      </c>
      <c r="O827">
        <v>62.333333330000002</v>
      </c>
      <c r="P827">
        <v>62</v>
      </c>
      <c r="Q827">
        <v>4</v>
      </c>
      <c r="R827">
        <v>7.9</v>
      </c>
      <c r="S827" t="s">
        <v>41</v>
      </c>
      <c r="T827" t="s">
        <v>42</v>
      </c>
      <c r="U827">
        <v>11</v>
      </c>
    </row>
    <row r="828" spans="1:21" x14ac:dyDescent="0.25">
      <c r="A828" t="s">
        <v>20</v>
      </c>
      <c r="B828" t="s">
        <v>27</v>
      </c>
      <c r="C828" t="s">
        <v>36</v>
      </c>
      <c r="D828" t="s">
        <v>37</v>
      </c>
      <c r="E828" t="s">
        <v>29</v>
      </c>
      <c r="F828">
        <v>56</v>
      </c>
      <c r="G828">
        <v>68</v>
      </c>
      <c r="H828">
        <v>70</v>
      </c>
      <c r="J828">
        <v>56</v>
      </c>
      <c r="K828">
        <v>7.4833147740000001</v>
      </c>
      <c r="L828">
        <v>56</v>
      </c>
      <c r="M828">
        <v>70</v>
      </c>
      <c r="N828">
        <v>194</v>
      </c>
      <c r="O828">
        <v>64.666666669999998</v>
      </c>
      <c r="P828">
        <v>62</v>
      </c>
      <c r="Q828">
        <v>1</v>
      </c>
      <c r="R828">
        <v>8.0399999999999991</v>
      </c>
      <c r="S828" t="s">
        <v>38</v>
      </c>
      <c r="T828" t="s">
        <v>26</v>
      </c>
      <c r="U828">
        <v>18</v>
      </c>
    </row>
    <row r="829" spans="1:21" x14ac:dyDescent="0.25">
      <c r="A829" t="s">
        <v>20</v>
      </c>
      <c r="B829" t="s">
        <v>27</v>
      </c>
      <c r="C829" t="s">
        <v>50</v>
      </c>
      <c r="D829" t="s">
        <v>23</v>
      </c>
      <c r="E829" t="s">
        <v>24</v>
      </c>
      <c r="F829">
        <v>65</v>
      </c>
      <c r="G829">
        <v>69</v>
      </c>
      <c r="H829">
        <v>76</v>
      </c>
      <c r="J829">
        <v>65</v>
      </c>
      <c r="K829">
        <v>8.0622577480000004</v>
      </c>
      <c r="L829">
        <v>65</v>
      </c>
      <c r="M829">
        <v>76</v>
      </c>
      <c r="N829">
        <v>210</v>
      </c>
      <c r="O829">
        <v>70</v>
      </c>
      <c r="P829">
        <v>67</v>
      </c>
      <c r="Q829">
        <v>1</v>
      </c>
      <c r="R829">
        <v>8.3699999999999992</v>
      </c>
      <c r="S829" t="s">
        <v>30</v>
      </c>
      <c r="T829" t="s">
        <v>42</v>
      </c>
      <c r="U829">
        <v>16</v>
      </c>
    </row>
    <row r="830" spans="1:21" x14ac:dyDescent="0.25">
      <c r="A830" t="s">
        <v>20</v>
      </c>
      <c r="B830" t="s">
        <v>39</v>
      </c>
      <c r="C830" t="s">
        <v>50</v>
      </c>
      <c r="D830" t="s">
        <v>37</v>
      </c>
      <c r="E830" t="s">
        <v>29</v>
      </c>
      <c r="F830">
        <v>69</v>
      </c>
      <c r="G830">
        <v>86</v>
      </c>
      <c r="H830">
        <v>81</v>
      </c>
      <c r="J830">
        <v>69</v>
      </c>
      <c r="K830">
        <v>8.3066238630000004</v>
      </c>
      <c r="L830">
        <v>69</v>
      </c>
      <c r="M830">
        <v>86</v>
      </c>
      <c r="N830">
        <v>236</v>
      </c>
      <c r="O830">
        <v>78.666666669999998</v>
      </c>
      <c r="P830">
        <v>75</v>
      </c>
      <c r="Q830">
        <v>2</v>
      </c>
      <c r="R830">
        <v>8.8699999999999992</v>
      </c>
      <c r="S830" t="s">
        <v>30</v>
      </c>
      <c r="T830" t="s">
        <v>42</v>
      </c>
      <c r="U830">
        <v>16</v>
      </c>
    </row>
    <row r="831" spans="1:21" x14ac:dyDescent="0.25">
      <c r="A831" t="s">
        <v>34</v>
      </c>
      <c r="B831" t="s">
        <v>21</v>
      </c>
      <c r="C831" t="s">
        <v>50</v>
      </c>
      <c r="D831" t="s">
        <v>23</v>
      </c>
      <c r="E831" t="s">
        <v>24</v>
      </c>
      <c r="F831">
        <v>68</v>
      </c>
      <c r="G831">
        <v>54</v>
      </c>
      <c r="H831">
        <v>53</v>
      </c>
      <c r="J831">
        <v>68</v>
      </c>
      <c r="K831">
        <v>8.2462112510000001</v>
      </c>
      <c r="L831">
        <v>53</v>
      </c>
      <c r="M831">
        <v>68</v>
      </c>
      <c r="N831">
        <v>175</v>
      </c>
      <c r="O831">
        <v>58.333333330000002</v>
      </c>
      <c r="P831">
        <v>61</v>
      </c>
      <c r="Q831">
        <v>4</v>
      </c>
      <c r="R831">
        <v>7.64</v>
      </c>
      <c r="S831" t="s">
        <v>30</v>
      </c>
      <c r="T831" t="s">
        <v>42</v>
      </c>
      <c r="U831">
        <v>16</v>
      </c>
    </row>
    <row r="832" spans="1:21" x14ac:dyDescent="0.25">
      <c r="A832" t="s">
        <v>20</v>
      </c>
      <c r="B832" t="s">
        <v>35</v>
      </c>
      <c r="C832" t="s">
        <v>28</v>
      </c>
      <c r="D832" t="s">
        <v>37</v>
      </c>
      <c r="E832" t="s">
        <v>24</v>
      </c>
      <c r="F832">
        <v>61</v>
      </c>
      <c r="G832">
        <v>60</v>
      </c>
      <c r="H832">
        <v>57</v>
      </c>
      <c r="J832">
        <v>61</v>
      </c>
      <c r="K832">
        <v>7.8102496759999998</v>
      </c>
      <c r="L832">
        <v>57</v>
      </c>
      <c r="M832">
        <v>61</v>
      </c>
      <c r="N832">
        <v>178</v>
      </c>
      <c r="O832">
        <v>59.333333330000002</v>
      </c>
      <c r="P832">
        <v>60.5</v>
      </c>
      <c r="Q832">
        <v>4</v>
      </c>
      <c r="R832">
        <v>7.7</v>
      </c>
      <c r="S832" t="s">
        <v>30</v>
      </c>
      <c r="T832" t="s">
        <v>31</v>
      </c>
      <c r="U832">
        <v>12</v>
      </c>
    </row>
    <row r="833" spans="1:21" x14ac:dyDescent="0.25">
      <c r="A833" t="s">
        <v>20</v>
      </c>
      <c r="B833" t="s">
        <v>27</v>
      </c>
      <c r="C833" t="s">
        <v>22</v>
      </c>
      <c r="D833" t="s">
        <v>37</v>
      </c>
      <c r="E833" t="s">
        <v>29</v>
      </c>
      <c r="F833">
        <v>74</v>
      </c>
      <c r="G833">
        <v>86</v>
      </c>
      <c r="H833">
        <v>89</v>
      </c>
      <c r="J833">
        <v>74</v>
      </c>
      <c r="K833">
        <v>8.6023252669999994</v>
      </c>
      <c r="L833">
        <v>74</v>
      </c>
      <c r="M833">
        <v>89</v>
      </c>
      <c r="N833">
        <v>249</v>
      </c>
      <c r="O833">
        <v>83</v>
      </c>
      <c r="P833">
        <v>80</v>
      </c>
      <c r="Q833">
        <v>1</v>
      </c>
      <c r="R833">
        <v>9.11</v>
      </c>
      <c r="S833" t="s">
        <v>25</v>
      </c>
      <c r="T833" t="s">
        <v>26</v>
      </c>
      <c r="U833">
        <v>17</v>
      </c>
    </row>
    <row r="834" spans="1:21" x14ac:dyDescent="0.25">
      <c r="A834" t="s">
        <v>34</v>
      </c>
      <c r="B834" t="s">
        <v>35</v>
      </c>
      <c r="C834" t="s">
        <v>22</v>
      </c>
      <c r="D834" t="s">
        <v>23</v>
      </c>
      <c r="E834" t="s">
        <v>24</v>
      </c>
      <c r="F834">
        <v>64</v>
      </c>
      <c r="G834">
        <v>60</v>
      </c>
      <c r="H834">
        <v>58</v>
      </c>
      <c r="J834">
        <v>64</v>
      </c>
      <c r="K834">
        <v>8</v>
      </c>
      <c r="L834">
        <v>58</v>
      </c>
      <c r="M834">
        <v>64</v>
      </c>
      <c r="N834">
        <v>182</v>
      </c>
      <c r="O834">
        <v>60.666666669999998</v>
      </c>
      <c r="P834">
        <v>62</v>
      </c>
      <c r="Q834">
        <v>4</v>
      </c>
      <c r="R834">
        <v>7.79</v>
      </c>
      <c r="S834" t="s">
        <v>25</v>
      </c>
      <c r="T834" t="s">
        <v>26</v>
      </c>
      <c r="U834">
        <v>17</v>
      </c>
    </row>
    <row r="835" spans="1:21" x14ac:dyDescent="0.25">
      <c r="A835" t="s">
        <v>20</v>
      </c>
      <c r="B835" t="s">
        <v>21</v>
      </c>
      <c r="C835" t="s">
        <v>40</v>
      </c>
      <c r="D835" t="s">
        <v>23</v>
      </c>
      <c r="E835" t="s">
        <v>29</v>
      </c>
      <c r="F835">
        <v>77</v>
      </c>
      <c r="G835">
        <v>82</v>
      </c>
      <c r="H835">
        <v>89</v>
      </c>
      <c r="J835">
        <v>77</v>
      </c>
      <c r="K835">
        <v>8.7749643870000007</v>
      </c>
      <c r="L835">
        <v>77</v>
      </c>
      <c r="M835">
        <v>89</v>
      </c>
      <c r="N835">
        <v>248</v>
      </c>
      <c r="O835">
        <v>82.666666669999998</v>
      </c>
      <c r="P835">
        <v>79.5</v>
      </c>
      <c r="Q835">
        <v>1</v>
      </c>
      <c r="R835">
        <v>9.09</v>
      </c>
      <c r="S835" t="s">
        <v>41</v>
      </c>
      <c r="T835" t="s">
        <v>42</v>
      </c>
      <c r="U835">
        <v>11</v>
      </c>
    </row>
    <row r="836" spans="1:21" x14ac:dyDescent="0.25">
      <c r="A836" t="s">
        <v>34</v>
      </c>
      <c r="B836" t="s">
        <v>21</v>
      </c>
      <c r="C836" t="s">
        <v>28</v>
      </c>
      <c r="D836" t="s">
        <v>23</v>
      </c>
      <c r="E836" t="s">
        <v>24</v>
      </c>
      <c r="F836">
        <v>58</v>
      </c>
      <c r="G836">
        <v>50</v>
      </c>
      <c r="H836">
        <v>45</v>
      </c>
      <c r="J836">
        <v>58</v>
      </c>
      <c r="K836">
        <v>7.6157731059999998</v>
      </c>
      <c r="L836">
        <v>45</v>
      </c>
      <c r="M836">
        <v>58</v>
      </c>
      <c r="N836">
        <v>153</v>
      </c>
      <c r="O836">
        <v>51</v>
      </c>
      <c r="P836">
        <v>54</v>
      </c>
      <c r="Q836">
        <v>4</v>
      </c>
      <c r="R836">
        <v>7.14</v>
      </c>
      <c r="S836" t="s">
        <v>30</v>
      </c>
      <c r="T836" t="s">
        <v>31</v>
      </c>
      <c r="U836">
        <v>12</v>
      </c>
    </row>
    <row r="837" spans="1:21" x14ac:dyDescent="0.25">
      <c r="A837" t="s">
        <v>20</v>
      </c>
      <c r="B837" t="s">
        <v>27</v>
      </c>
      <c r="C837" t="s">
        <v>40</v>
      </c>
      <c r="D837" t="s">
        <v>23</v>
      </c>
      <c r="E837" t="s">
        <v>29</v>
      </c>
      <c r="F837">
        <v>60</v>
      </c>
      <c r="G837">
        <v>64</v>
      </c>
      <c r="H837">
        <v>74</v>
      </c>
      <c r="J837">
        <v>60</v>
      </c>
      <c r="K837">
        <v>7.7459666919999997</v>
      </c>
      <c r="L837">
        <v>60</v>
      </c>
      <c r="M837">
        <v>74</v>
      </c>
      <c r="N837">
        <v>198</v>
      </c>
      <c r="O837">
        <v>66</v>
      </c>
      <c r="P837">
        <v>62</v>
      </c>
      <c r="Q837">
        <v>1</v>
      </c>
      <c r="R837">
        <v>8.1199999999999992</v>
      </c>
      <c r="S837" t="s">
        <v>41</v>
      </c>
      <c r="T837" t="s">
        <v>42</v>
      </c>
      <c r="U837">
        <v>11</v>
      </c>
    </row>
    <row r="838" spans="1:21" x14ac:dyDescent="0.25">
      <c r="A838" t="s">
        <v>34</v>
      </c>
      <c r="B838" t="s">
        <v>64</v>
      </c>
      <c r="C838" t="s">
        <v>40</v>
      </c>
      <c r="D838" t="s">
        <v>23</v>
      </c>
      <c r="E838" t="s">
        <v>24</v>
      </c>
      <c r="F838">
        <v>73</v>
      </c>
      <c r="G838">
        <v>64</v>
      </c>
      <c r="H838">
        <v>57</v>
      </c>
      <c r="J838">
        <v>73</v>
      </c>
      <c r="K838">
        <v>8.5440037449999995</v>
      </c>
      <c r="L838">
        <v>57</v>
      </c>
      <c r="M838">
        <v>73</v>
      </c>
      <c r="N838">
        <v>194</v>
      </c>
      <c r="O838">
        <v>64.666666669999998</v>
      </c>
      <c r="P838">
        <v>68.5</v>
      </c>
      <c r="Q838">
        <v>4</v>
      </c>
      <c r="R838">
        <v>8.0399999999999991</v>
      </c>
      <c r="S838" t="s">
        <v>41</v>
      </c>
      <c r="T838" t="s">
        <v>42</v>
      </c>
      <c r="U838">
        <v>11</v>
      </c>
    </row>
    <row r="839" spans="1:21" x14ac:dyDescent="0.25">
      <c r="A839" t="s">
        <v>20</v>
      </c>
      <c r="B839" t="s">
        <v>35</v>
      </c>
      <c r="C839" t="s">
        <v>40</v>
      </c>
      <c r="D839" t="s">
        <v>23</v>
      </c>
      <c r="E839" t="s">
        <v>29</v>
      </c>
      <c r="F839">
        <v>75</v>
      </c>
      <c r="G839">
        <v>82</v>
      </c>
      <c r="H839">
        <v>79</v>
      </c>
      <c r="J839">
        <v>75</v>
      </c>
      <c r="K839">
        <v>8.6602540379999997</v>
      </c>
      <c r="L839">
        <v>75</v>
      </c>
      <c r="M839">
        <v>82</v>
      </c>
      <c r="N839">
        <v>236</v>
      </c>
      <c r="O839">
        <v>78.666666669999998</v>
      </c>
      <c r="P839">
        <v>77</v>
      </c>
      <c r="Q839">
        <v>2</v>
      </c>
      <c r="R839">
        <v>8.8699999999999992</v>
      </c>
      <c r="S839" t="s">
        <v>41</v>
      </c>
      <c r="T839" t="s">
        <v>42</v>
      </c>
      <c r="U839">
        <v>11</v>
      </c>
    </row>
    <row r="840" spans="1:21" x14ac:dyDescent="0.25">
      <c r="A840" t="s">
        <v>34</v>
      </c>
      <c r="B840" t="s">
        <v>21</v>
      </c>
      <c r="C840" t="s">
        <v>36</v>
      </c>
      <c r="D840" t="s">
        <v>37</v>
      </c>
      <c r="E840" t="s">
        <v>29</v>
      </c>
      <c r="F840">
        <v>58</v>
      </c>
      <c r="G840">
        <v>57</v>
      </c>
      <c r="H840">
        <v>53</v>
      </c>
      <c r="J840">
        <v>58</v>
      </c>
      <c r="K840">
        <v>7.6157731059999998</v>
      </c>
      <c r="L840">
        <v>53</v>
      </c>
      <c r="M840">
        <v>58</v>
      </c>
      <c r="N840">
        <v>168</v>
      </c>
      <c r="O840">
        <v>56</v>
      </c>
      <c r="P840">
        <v>57.5</v>
      </c>
      <c r="Q840">
        <v>4</v>
      </c>
      <c r="R840">
        <v>7.48</v>
      </c>
      <c r="S840" t="s">
        <v>38</v>
      </c>
      <c r="T840" t="s">
        <v>26</v>
      </c>
      <c r="U840">
        <v>18</v>
      </c>
    </row>
    <row r="841" spans="1:21" x14ac:dyDescent="0.25">
      <c r="A841" t="s">
        <v>20</v>
      </c>
      <c r="B841" t="s">
        <v>27</v>
      </c>
      <c r="C841" t="s">
        <v>36</v>
      </c>
      <c r="D841" t="s">
        <v>23</v>
      </c>
      <c r="E841" t="s">
        <v>24</v>
      </c>
      <c r="F841">
        <v>66</v>
      </c>
      <c r="G841">
        <v>77</v>
      </c>
      <c r="H841">
        <v>73</v>
      </c>
      <c r="J841">
        <v>66</v>
      </c>
      <c r="K841">
        <v>8.1240384050000003</v>
      </c>
      <c r="L841">
        <v>66</v>
      </c>
      <c r="M841">
        <v>77</v>
      </c>
      <c r="N841">
        <v>216</v>
      </c>
      <c r="O841">
        <v>72</v>
      </c>
      <c r="P841">
        <v>69.5</v>
      </c>
      <c r="Q841">
        <v>2</v>
      </c>
      <c r="R841">
        <v>8.49</v>
      </c>
      <c r="S841" t="s">
        <v>38</v>
      </c>
      <c r="T841" t="s">
        <v>26</v>
      </c>
      <c r="U841">
        <v>18</v>
      </c>
    </row>
    <row r="842" spans="1:21" x14ac:dyDescent="0.25">
      <c r="A842" t="s">
        <v>20</v>
      </c>
      <c r="B842" t="s">
        <v>39</v>
      </c>
      <c r="C842" t="s">
        <v>40</v>
      </c>
      <c r="D842" t="s">
        <v>37</v>
      </c>
      <c r="E842" t="s">
        <v>24</v>
      </c>
      <c r="F842">
        <v>39</v>
      </c>
      <c r="G842">
        <v>52</v>
      </c>
      <c r="H842">
        <v>46</v>
      </c>
      <c r="J842">
        <v>39</v>
      </c>
      <c r="K842">
        <v>6.2449979979999997</v>
      </c>
      <c r="L842">
        <v>39</v>
      </c>
      <c r="M842">
        <v>52</v>
      </c>
      <c r="N842">
        <v>137</v>
      </c>
      <c r="O842">
        <v>45.666666669999998</v>
      </c>
      <c r="P842">
        <v>42.5</v>
      </c>
      <c r="Q842">
        <v>2</v>
      </c>
      <c r="R842">
        <v>6.76</v>
      </c>
      <c r="S842" t="s">
        <v>41</v>
      </c>
      <c r="T842" t="s">
        <v>42</v>
      </c>
      <c r="U842">
        <v>11</v>
      </c>
    </row>
    <row r="843" spans="1:21" x14ac:dyDescent="0.25">
      <c r="A843" t="s">
        <v>34</v>
      </c>
      <c r="B843" t="s">
        <v>27</v>
      </c>
      <c r="C843" t="s">
        <v>50</v>
      </c>
      <c r="D843" t="s">
        <v>23</v>
      </c>
      <c r="E843" t="s">
        <v>24</v>
      </c>
      <c r="F843">
        <v>64</v>
      </c>
      <c r="G843">
        <v>58</v>
      </c>
      <c r="H843">
        <v>51</v>
      </c>
      <c r="J843">
        <v>64</v>
      </c>
      <c r="K843">
        <v>8</v>
      </c>
      <c r="L843">
        <v>51</v>
      </c>
      <c r="M843">
        <v>64</v>
      </c>
      <c r="N843">
        <v>173</v>
      </c>
      <c r="O843">
        <v>57.666666669999998</v>
      </c>
      <c r="P843">
        <v>61</v>
      </c>
      <c r="Q843">
        <v>4</v>
      </c>
      <c r="R843">
        <v>7.59</v>
      </c>
      <c r="S843" t="s">
        <v>30</v>
      </c>
      <c r="T843" t="s">
        <v>42</v>
      </c>
      <c r="U843">
        <v>16</v>
      </c>
    </row>
    <row r="844" spans="1:21" x14ac:dyDescent="0.25">
      <c r="A844" t="s">
        <v>20</v>
      </c>
      <c r="B844" t="s">
        <v>21</v>
      </c>
      <c r="C844" t="s">
        <v>40</v>
      </c>
      <c r="D844" t="s">
        <v>37</v>
      </c>
      <c r="E844" t="s">
        <v>29</v>
      </c>
      <c r="F844">
        <v>23</v>
      </c>
      <c r="G844">
        <v>44</v>
      </c>
      <c r="H844">
        <v>36</v>
      </c>
      <c r="J844">
        <v>23</v>
      </c>
      <c r="K844">
        <v>4.7958315230000004</v>
      </c>
      <c r="L844">
        <v>23</v>
      </c>
      <c r="M844">
        <v>44</v>
      </c>
      <c r="N844">
        <v>103</v>
      </c>
      <c r="O844">
        <v>34.333333330000002</v>
      </c>
      <c r="P844">
        <v>29.5</v>
      </c>
      <c r="Q844">
        <v>2</v>
      </c>
      <c r="R844">
        <v>5.86</v>
      </c>
      <c r="S844" t="s">
        <v>41</v>
      </c>
      <c r="T844" t="s">
        <v>42</v>
      </c>
      <c r="U844">
        <v>11</v>
      </c>
    </row>
    <row r="845" spans="1:21" x14ac:dyDescent="0.25">
      <c r="A845" t="s">
        <v>34</v>
      </c>
      <c r="B845" t="s">
        <v>21</v>
      </c>
      <c r="C845" t="s">
        <v>28</v>
      </c>
      <c r="D845" t="s">
        <v>37</v>
      </c>
      <c r="E845" t="s">
        <v>29</v>
      </c>
      <c r="F845">
        <v>74</v>
      </c>
      <c r="G845">
        <v>77</v>
      </c>
      <c r="H845">
        <v>76</v>
      </c>
      <c r="J845">
        <v>74</v>
      </c>
      <c r="K845">
        <v>8.6023252669999994</v>
      </c>
      <c r="L845">
        <v>74</v>
      </c>
      <c r="M845">
        <v>77</v>
      </c>
      <c r="N845">
        <v>227</v>
      </c>
      <c r="O845">
        <v>75.666666669999998</v>
      </c>
      <c r="P845">
        <v>75</v>
      </c>
      <c r="Q845">
        <v>2</v>
      </c>
      <c r="R845">
        <v>8.6999999999999993</v>
      </c>
      <c r="S845" t="s">
        <v>30</v>
      </c>
      <c r="T845" t="s">
        <v>31</v>
      </c>
      <c r="U845">
        <v>12</v>
      </c>
    </row>
    <row r="846" spans="1:21" x14ac:dyDescent="0.25">
      <c r="A846" t="s">
        <v>20</v>
      </c>
      <c r="B846" t="s">
        <v>39</v>
      </c>
      <c r="C846" t="s">
        <v>50</v>
      </c>
      <c r="D846" t="s">
        <v>37</v>
      </c>
      <c r="E846" t="s">
        <v>29</v>
      </c>
      <c r="F846">
        <v>40</v>
      </c>
      <c r="G846">
        <v>65</v>
      </c>
      <c r="H846">
        <v>64</v>
      </c>
      <c r="J846">
        <v>40</v>
      </c>
      <c r="K846">
        <v>6.32455532</v>
      </c>
      <c r="L846">
        <v>40</v>
      </c>
      <c r="M846">
        <v>65</v>
      </c>
      <c r="N846">
        <v>169</v>
      </c>
      <c r="O846">
        <v>56.333333330000002</v>
      </c>
      <c r="P846">
        <v>52</v>
      </c>
      <c r="Q846">
        <v>2</v>
      </c>
      <c r="R846">
        <v>7.51</v>
      </c>
      <c r="S846" t="s">
        <v>30</v>
      </c>
      <c r="T846" t="s">
        <v>42</v>
      </c>
      <c r="U846">
        <v>16</v>
      </c>
    </row>
    <row r="847" spans="1:21" x14ac:dyDescent="0.25">
      <c r="A847" t="s">
        <v>34</v>
      </c>
      <c r="B847" t="s">
        <v>64</v>
      </c>
      <c r="C847" t="s">
        <v>32</v>
      </c>
      <c r="D847" t="s">
        <v>23</v>
      </c>
      <c r="E847" t="s">
        <v>24</v>
      </c>
      <c r="F847">
        <v>90</v>
      </c>
      <c r="G847">
        <v>85</v>
      </c>
      <c r="H847">
        <v>84</v>
      </c>
      <c r="J847">
        <v>90</v>
      </c>
      <c r="K847">
        <v>9.4868329809999992</v>
      </c>
      <c r="L847">
        <v>84</v>
      </c>
      <c r="M847">
        <v>90</v>
      </c>
      <c r="N847">
        <v>259</v>
      </c>
      <c r="O847">
        <v>86.333333330000002</v>
      </c>
      <c r="P847">
        <v>87.5</v>
      </c>
      <c r="Q847">
        <v>4</v>
      </c>
      <c r="R847">
        <v>9.2899999999999991</v>
      </c>
      <c r="S847" t="s">
        <v>33</v>
      </c>
      <c r="T847" t="s">
        <v>26</v>
      </c>
      <c r="U847">
        <v>15</v>
      </c>
    </row>
    <row r="848" spans="1:21" x14ac:dyDescent="0.25">
      <c r="A848" t="s">
        <v>34</v>
      </c>
      <c r="B848" t="s">
        <v>27</v>
      </c>
      <c r="C848" t="s">
        <v>32</v>
      </c>
      <c r="D848" t="s">
        <v>23</v>
      </c>
      <c r="E848" t="s">
        <v>29</v>
      </c>
      <c r="F848">
        <v>91</v>
      </c>
      <c r="G848">
        <v>85</v>
      </c>
      <c r="H848">
        <v>85</v>
      </c>
      <c r="J848">
        <v>91</v>
      </c>
      <c r="K848">
        <v>9.5393920140000006</v>
      </c>
      <c r="L848">
        <v>85</v>
      </c>
      <c r="M848">
        <v>91</v>
      </c>
      <c r="N848">
        <v>261</v>
      </c>
      <c r="O848">
        <v>87</v>
      </c>
      <c r="P848">
        <v>88</v>
      </c>
      <c r="Q848">
        <v>3</v>
      </c>
      <c r="R848">
        <v>9.33</v>
      </c>
      <c r="S848" t="s">
        <v>33</v>
      </c>
      <c r="T848" t="s">
        <v>26</v>
      </c>
      <c r="U848">
        <v>15</v>
      </c>
    </row>
    <row r="849" spans="1:21" x14ac:dyDescent="0.25">
      <c r="A849" t="s">
        <v>34</v>
      </c>
      <c r="B849" t="s">
        <v>39</v>
      </c>
      <c r="C849" t="s">
        <v>40</v>
      </c>
      <c r="D849" t="s">
        <v>23</v>
      </c>
      <c r="E849" t="s">
        <v>24</v>
      </c>
      <c r="F849">
        <v>64</v>
      </c>
      <c r="G849">
        <v>54</v>
      </c>
      <c r="H849">
        <v>50</v>
      </c>
      <c r="J849">
        <v>64</v>
      </c>
      <c r="K849">
        <v>8</v>
      </c>
      <c r="L849">
        <v>50</v>
      </c>
      <c r="M849">
        <v>64</v>
      </c>
      <c r="N849">
        <v>168</v>
      </c>
      <c r="O849">
        <v>56</v>
      </c>
      <c r="P849">
        <v>59</v>
      </c>
      <c r="Q849">
        <v>4</v>
      </c>
      <c r="R849">
        <v>7.48</v>
      </c>
      <c r="S849" t="s">
        <v>41</v>
      </c>
      <c r="T849" t="s">
        <v>42</v>
      </c>
      <c r="U849">
        <v>11</v>
      </c>
    </row>
    <row r="850" spans="1:21" x14ac:dyDescent="0.25">
      <c r="A850" t="s">
        <v>20</v>
      </c>
      <c r="B850" t="s">
        <v>27</v>
      </c>
      <c r="C850" t="s">
        <v>40</v>
      </c>
      <c r="D850" t="s">
        <v>23</v>
      </c>
      <c r="E850" t="s">
        <v>24</v>
      </c>
      <c r="F850">
        <v>59</v>
      </c>
      <c r="G850">
        <v>72</v>
      </c>
      <c r="H850">
        <v>68</v>
      </c>
      <c r="J850">
        <v>59</v>
      </c>
      <c r="K850">
        <v>7.6811457479999996</v>
      </c>
      <c r="L850">
        <v>59</v>
      </c>
      <c r="M850">
        <v>72</v>
      </c>
      <c r="N850">
        <v>199</v>
      </c>
      <c r="O850">
        <v>66.333333330000002</v>
      </c>
      <c r="P850">
        <v>63.5</v>
      </c>
      <c r="Q850">
        <v>2</v>
      </c>
      <c r="R850">
        <v>8.14</v>
      </c>
      <c r="S850" t="s">
        <v>41</v>
      </c>
      <c r="T850" t="s">
        <v>42</v>
      </c>
      <c r="U850">
        <v>11</v>
      </c>
    </row>
    <row r="851" spans="1:21" x14ac:dyDescent="0.25">
      <c r="A851" t="s">
        <v>34</v>
      </c>
      <c r="B851" t="s">
        <v>39</v>
      </c>
      <c r="C851" t="s">
        <v>36</v>
      </c>
      <c r="D851" t="s">
        <v>23</v>
      </c>
      <c r="E851" t="s">
        <v>24</v>
      </c>
      <c r="F851">
        <v>80</v>
      </c>
      <c r="G851">
        <v>75</v>
      </c>
      <c r="H851">
        <v>69</v>
      </c>
      <c r="J851">
        <v>80</v>
      </c>
      <c r="K851">
        <v>8.9442719099999994</v>
      </c>
      <c r="L851">
        <v>69</v>
      </c>
      <c r="M851">
        <v>80</v>
      </c>
      <c r="N851">
        <v>224</v>
      </c>
      <c r="O851">
        <v>74.666666669999998</v>
      </c>
      <c r="P851">
        <v>77.5</v>
      </c>
      <c r="Q851">
        <v>4</v>
      </c>
      <c r="R851">
        <v>8.64</v>
      </c>
      <c r="S851" t="s">
        <v>38</v>
      </c>
      <c r="T851" t="s">
        <v>26</v>
      </c>
      <c r="U851">
        <v>18</v>
      </c>
    </row>
    <row r="852" spans="1:21" x14ac:dyDescent="0.25">
      <c r="A852" t="s">
        <v>34</v>
      </c>
      <c r="B852" t="s">
        <v>27</v>
      </c>
      <c r="C852" t="s">
        <v>32</v>
      </c>
      <c r="D852" t="s">
        <v>23</v>
      </c>
      <c r="E852" t="s">
        <v>24</v>
      </c>
      <c r="F852">
        <v>71</v>
      </c>
      <c r="G852">
        <v>67</v>
      </c>
      <c r="H852">
        <v>67</v>
      </c>
      <c r="J852">
        <v>71</v>
      </c>
      <c r="K852">
        <v>8.4261497730000006</v>
      </c>
      <c r="L852">
        <v>67</v>
      </c>
      <c r="M852">
        <v>71</v>
      </c>
      <c r="N852">
        <v>205</v>
      </c>
      <c r="O852">
        <v>68.333333330000002</v>
      </c>
      <c r="P852">
        <v>69</v>
      </c>
      <c r="Q852">
        <v>3</v>
      </c>
      <c r="R852">
        <v>8.27</v>
      </c>
      <c r="S852" t="s">
        <v>33</v>
      </c>
      <c r="T852" t="s">
        <v>26</v>
      </c>
      <c r="U852">
        <v>15</v>
      </c>
    </row>
    <row r="853" spans="1:21" x14ac:dyDescent="0.25">
      <c r="A853" t="s">
        <v>20</v>
      </c>
      <c r="B853" t="s">
        <v>35</v>
      </c>
      <c r="C853" t="s">
        <v>40</v>
      </c>
      <c r="D853" t="s">
        <v>23</v>
      </c>
      <c r="E853" t="s">
        <v>24</v>
      </c>
      <c r="F853">
        <v>61</v>
      </c>
      <c r="G853">
        <v>68</v>
      </c>
      <c r="H853">
        <v>63</v>
      </c>
      <c r="J853">
        <v>61</v>
      </c>
      <c r="K853">
        <v>7.8102496759999998</v>
      </c>
      <c r="L853">
        <v>61</v>
      </c>
      <c r="M853">
        <v>68</v>
      </c>
      <c r="N853">
        <v>192</v>
      </c>
      <c r="O853">
        <v>64</v>
      </c>
      <c r="P853">
        <v>62</v>
      </c>
      <c r="Q853">
        <v>2</v>
      </c>
      <c r="R853">
        <v>8</v>
      </c>
      <c r="S853" t="s">
        <v>41</v>
      </c>
      <c r="T853" t="s">
        <v>42</v>
      </c>
      <c r="U853">
        <v>11</v>
      </c>
    </row>
    <row r="854" spans="1:21" x14ac:dyDescent="0.25">
      <c r="A854" t="s">
        <v>20</v>
      </c>
      <c r="B854" t="s">
        <v>64</v>
      </c>
      <c r="C854" t="s">
        <v>28</v>
      </c>
      <c r="D854" t="s">
        <v>23</v>
      </c>
      <c r="E854" t="s">
        <v>24</v>
      </c>
      <c r="F854">
        <v>87</v>
      </c>
      <c r="G854">
        <v>85</v>
      </c>
      <c r="H854">
        <v>93</v>
      </c>
      <c r="J854">
        <v>87</v>
      </c>
      <c r="K854">
        <v>9.3273790529999996</v>
      </c>
      <c r="L854">
        <v>85</v>
      </c>
      <c r="M854">
        <v>93</v>
      </c>
      <c r="N854">
        <v>265</v>
      </c>
      <c r="O854">
        <v>88.333333330000002</v>
      </c>
      <c r="P854">
        <v>87</v>
      </c>
      <c r="Q854">
        <v>1</v>
      </c>
      <c r="R854">
        <v>9.4</v>
      </c>
      <c r="S854" t="s">
        <v>30</v>
      </c>
      <c r="T854" t="s">
        <v>31</v>
      </c>
      <c r="U854">
        <v>12</v>
      </c>
    </row>
    <row r="855" spans="1:21" x14ac:dyDescent="0.25">
      <c r="A855" t="s">
        <v>34</v>
      </c>
      <c r="B855" t="s">
        <v>64</v>
      </c>
      <c r="C855" t="s">
        <v>50</v>
      </c>
      <c r="D855" t="s">
        <v>23</v>
      </c>
      <c r="E855" t="s">
        <v>24</v>
      </c>
      <c r="F855">
        <v>82</v>
      </c>
      <c r="G855">
        <v>67</v>
      </c>
      <c r="H855">
        <v>61</v>
      </c>
      <c r="J855">
        <v>82</v>
      </c>
      <c r="K855">
        <v>9.0553851380000001</v>
      </c>
      <c r="L855">
        <v>61</v>
      </c>
      <c r="M855">
        <v>82</v>
      </c>
      <c r="N855">
        <v>210</v>
      </c>
      <c r="O855">
        <v>70</v>
      </c>
      <c r="P855">
        <v>74.5</v>
      </c>
      <c r="Q855">
        <v>4</v>
      </c>
      <c r="R855">
        <v>8.3699999999999992</v>
      </c>
      <c r="S855" t="s">
        <v>30</v>
      </c>
      <c r="T855" t="s">
        <v>42</v>
      </c>
      <c r="U855">
        <v>16</v>
      </c>
    </row>
    <row r="856" spans="1:21" x14ac:dyDescent="0.25">
      <c r="A856" t="s">
        <v>34</v>
      </c>
      <c r="B856" t="s">
        <v>27</v>
      </c>
      <c r="C856" t="s">
        <v>50</v>
      </c>
      <c r="D856" t="s">
        <v>23</v>
      </c>
      <c r="E856" t="s">
        <v>24</v>
      </c>
      <c r="F856">
        <v>62</v>
      </c>
      <c r="G856">
        <v>64</v>
      </c>
      <c r="H856">
        <v>55</v>
      </c>
      <c r="J856">
        <v>62</v>
      </c>
      <c r="K856">
        <v>7.8740078740000001</v>
      </c>
      <c r="L856">
        <v>55</v>
      </c>
      <c r="M856">
        <v>64</v>
      </c>
      <c r="N856">
        <v>181</v>
      </c>
      <c r="O856">
        <v>60.333333330000002</v>
      </c>
      <c r="P856">
        <v>62</v>
      </c>
      <c r="Q856">
        <v>4</v>
      </c>
      <c r="R856">
        <v>7.77</v>
      </c>
      <c r="S856" t="s">
        <v>30</v>
      </c>
      <c r="T856" t="s">
        <v>42</v>
      </c>
      <c r="U856">
        <v>16</v>
      </c>
    </row>
    <row r="857" spans="1:21" x14ac:dyDescent="0.25">
      <c r="A857" t="s">
        <v>20</v>
      </c>
      <c r="B857" t="s">
        <v>21</v>
      </c>
      <c r="C857" t="s">
        <v>22</v>
      </c>
      <c r="D857" t="s">
        <v>23</v>
      </c>
      <c r="E857" t="s">
        <v>24</v>
      </c>
      <c r="F857">
        <v>97</v>
      </c>
      <c r="G857">
        <v>97</v>
      </c>
      <c r="H857">
        <v>96</v>
      </c>
      <c r="J857">
        <v>97</v>
      </c>
      <c r="K857">
        <v>9.8488578019999995</v>
      </c>
      <c r="L857">
        <v>96</v>
      </c>
      <c r="M857">
        <v>97</v>
      </c>
      <c r="N857">
        <v>290</v>
      </c>
      <c r="O857">
        <v>96.666666669999998</v>
      </c>
      <c r="P857">
        <v>97</v>
      </c>
      <c r="Q857">
        <v>4</v>
      </c>
      <c r="R857">
        <v>9.83</v>
      </c>
      <c r="S857" t="s">
        <v>25</v>
      </c>
      <c r="T857" t="s">
        <v>26</v>
      </c>
      <c r="U857">
        <v>17</v>
      </c>
    </row>
    <row r="858" spans="1:21" x14ac:dyDescent="0.25">
      <c r="A858" t="s">
        <v>34</v>
      </c>
      <c r="B858" t="s">
        <v>21</v>
      </c>
      <c r="C858" t="s">
        <v>28</v>
      </c>
      <c r="D858" t="s">
        <v>37</v>
      </c>
      <c r="E858" t="s">
        <v>24</v>
      </c>
      <c r="F858">
        <v>75</v>
      </c>
      <c r="G858">
        <v>68</v>
      </c>
      <c r="H858">
        <v>65</v>
      </c>
      <c r="J858">
        <v>75</v>
      </c>
      <c r="K858">
        <v>8.6602540379999997</v>
      </c>
      <c r="L858">
        <v>65</v>
      </c>
      <c r="M858">
        <v>75</v>
      </c>
      <c r="N858">
        <v>208</v>
      </c>
      <c r="O858">
        <v>69.333333330000002</v>
      </c>
      <c r="P858">
        <v>71.5</v>
      </c>
      <c r="Q858">
        <v>4</v>
      </c>
      <c r="R858">
        <v>8.33</v>
      </c>
      <c r="S858" t="s">
        <v>30</v>
      </c>
      <c r="T858" t="s">
        <v>31</v>
      </c>
      <c r="U858">
        <v>12</v>
      </c>
    </row>
    <row r="859" spans="1:21" x14ac:dyDescent="0.25">
      <c r="A859" t="s">
        <v>20</v>
      </c>
      <c r="B859" t="s">
        <v>27</v>
      </c>
      <c r="C859" t="s">
        <v>22</v>
      </c>
      <c r="D859" t="s">
        <v>23</v>
      </c>
      <c r="E859" t="s">
        <v>24</v>
      </c>
      <c r="F859">
        <v>65</v>
      </c>
      <c r="G859">
        <v>79</v>
      </c>
      <c r="H859">
        <v>81</v>
      </c>
      <c r="J859">
        <v>65</v>
      </c>
      <c r="K859">
        <v>8.0622577480000004</v>
      </c>
      <c r="L859">
        <v>65</v>
      </c>
      <c r="M859">
        <v>81</v>
      </c>
      <c r="N859">
        <v>225</v>
      </c>
      <c r="O859">
        <v>75</v>
      </c>
      <c r="P859">
        <v>72</v>
      </c>
      <c r="Q859">
        <v>1</v>
      </c>
      <c r="R859">
        <v>8.66</v>
      </c>
      <c r="S859" t="s">
        <v>25</v>
      </c>
      <c r="T859" t="s">
        <v>26</v>
      </c>
      <c r="U859">
        <v>17</v>
      </c>
    </row>
    <row r="860" spans="1:21" x14ac:dyDescent="0.25">
      <c r="A860" t="s">
        <v>34</v>
      </c>
      <c r="B860" t="s">
        <v>21</v>
      </c>
      <c r="C860" t="s">
        <v>40</v>
      </c>
      <c r="D860" t="s">
        <v>23</v>
      </c>
      <c r="E860" t="s">
        <v>29</v>
      </c>
      <c r="F860">
        <v>52</v>
      </c>
      <c r="G860">
        <v>49</v>
      </c>
      <c r="H860">
        <v>46</v>
      </c>
      <c r="J860">
        <v>52</v>
      </c>
      <c r="K860">
        <v>7.2111025509999997</v>
      </c>
      <c r="L860">
        <v>46</v>
      </c>
      <c r="M860">
        <v>52</v>
      </c>
      <c r="N860">
        <v>147</v>
      </c>
      <c r="O860">
        <v>49</v>
      </c>
      <c r="P860">
        <v>50.5</v>
      </c>
      <c r="Q860">
        <v>4</v>
      </c>
      <c r="R860">
        <v>7</v>
      </c>
      <c r="S860" t="s">
        <v>41</v>
      </c>
      <c r="T860" t="s">
        <v>42</v>
      </c>
      <c r="U860">
        <v>11</v>
      </c>
    </row>
    <row r="861" spans="1:21" x14ac:dyDescent="0.25">
      <c r="A861" t="s">
        <v>34</v>
      </c>
      <c r="B861" t="s">
        <v>27</v>
      </c>
      <c r="C861" t="s">
        <v>36</v>
      </c>
      <c r="D861" t="s">
        <v>37</v>
      </c>
      <c r="E861" t="s">
        <v>24</v>
      </c>
      <c r="F861">
        <v>87</v>
      </c>
      <c r="G861">
        <v>73</v>
      </c>
      <c r="H861">
        <v>72</v>
      </c>
      <c r="J861">
        <v>87</v>
      </c>
      <c r="K861">
        <v>9.3273790529999996</v>
      </c>
      <c r="L861">
        <v>72</v>
      </c>
      <c r="M861">
        <v>87</v>
      </c>
      <c r="N861">
        <v>232</v>
      </c>
      <c r="O861">
        <v>77.333333330000002</v>
      </c>
      <c r="P861">
        <v>80</v>
      </c>
      <c r="Q861">
        <v>4</v>
      </c>
      <c r="R861">
        <v>8.7899999999999991</v>
      </c>
      <c r="S861" t="s">
        <v>38</v>
      </c>
      <c r="T861" t="s">
        <v>26</v>
      </c>
      <c r="U861">
        <v>18</v>
      </c>
    </row>
    <row r="862" spans="1:21" x14ac:dyDescent="0.25">
      <c r="A862" t="s">
        <v>20</v>
      </c>
      <c r="B862" t="s">
        <v>27</v>
      </c>
      <c r="C862" t="s">
        <v>36</v>
      </c>
      <c r="D862" t="s">
        <v>23</v>
      </c>
      <c r="E862" t="s">
        <v>24</v>
      </c>
      <c r="F862">
        <v>53</v>
      </c>
      <c r="G862">
        <v>62</v>
      </c>
      <c r="H862">
        <v>53</v>
      </c>
      <c r="J862">
        <v>53</v>
      </c>
      <c r="K862">
        <v>7.2801098890000002</v>
      </c>
      <c r="L862">
        <v>53</v>
      </c>
      <c r="M862">
        <v>62</v>
      </c>
      <c r="N862">
        <v>168</v>
      </c>
      <c r="O862">
        <v>56</v>
      </c>
      <c r="P862">
        <v>53</v>
      </c>
      <c r="Q862">
        <v>2</v>
      </c>
      <c r="R862">
        <v>7.48</v>
      </c>
      <c r="S862" t="s">
        <v>38</v>
      </c>
      <c r="T862" t="s">
        <v>26</v>
      </c>
      <c r="U862">
        <v>18</v>
      </c>
    </row>
    <row r="863" spans="1:21" x14ac:dyDescent="0.25">
      <c r="A863" t="s">
        <v>20</v>
      </c>
      <c r="B863" t="s">
        <v>64</v>
      </c>
      <c r="C863" t="s">
        <v>32</v>
      </c>
      <c r="D863" t="s">
        <v>37</v>
      </c>
      <c r="E863" t="s">
        <v>24</v>
      </c>
      <c r="F863">
        <v>81</v>
      </c>
      <c r="G863">
        <v>86</v>
      </c>
      <c r="H863">
        <v>87</v>
      </c>
      <c r="J863">
        <v>81</v>
      </c>
      <c r="K863">
        <v>9</v>
      </c>
      <c r="L863">
        <v>81</v>
      </c>
      <c r="M863">
        <v>87</v>
      </c>
      <c r="N863">
        <v>254</v>
      </c>
      <c r="O863">
        <v>84.666666669999998</v>
      </c>
      <c r="P863">
        <v>83.5</v>
      </c>
      <c r="Q863">
        <v>1</v>
      </c>
      <c r="R863">
        <v>9.1999999999999993</v>
      </c>
      <c r="S863" t="s">
        <v>33</v>
      </c>
      <c r="T863" t="s">
        <v>26</v>
      </c>
      <c r="U863">
        <v>15</v>
      </c>
    </row>
    <row r="864" spans="1:21" x14ac:dyDescent="0.25">
      <c r="A864" t="s">
        <v>34</v>
      </c>
      <c r="B864" t="s">
        <v>39</v>
      </c>
      <c r="C864" t="s">
        <v>22</v>
      </c>
      <c r="D864" t="s">
        <v>37</v>
      </c>
      <c r="E864" t="s">
        <v>29</v>
      </c>
      <c r="F864">
        <v>39</v>
      </c>
      <c r="G864">
        <v>42</v>
      </c>
      <c r="H864">
        <v>38</v>
      </c>
      <c r="J864">
        <v>39</v>
      </c>
      <c r="K864">
        <v>6.2449979979999997</v>
      </c>
      <c r="L864">
        <v>38</v>
      </c>
      <c r="M864">
        <v>42</v>
      </c>
      <c r="N864">
        <v>119</v>
      </c>
      <c r="O864">
        <v>39.666666669999998</v>
      </c>
      <c r="P864">
        <v>39</v>
      </c>
      <c r="Q864">
        <v>4</v>
      </c>
      <c r="R864">
        <v>6.3</v>
      </c>
      <c r="S864" t="s">
        <v>25</v>
      </c>
      <c r="T864" t="s">
        <v>26</v>
      </c>
      <c r="U864">
        <v>17</v>
      </c>
    </row>
    <row r="865" spans="1:21" x14ac:dyDescent="0.25">
      <c r="A865" t="s">
        <v>20</v>
      </c>
      <c r="B865" t="s">
        <v>27</v>
      </c>
      <c r="C865" t="s">
        <v>28</v>
      </c>
      <c r="D865" t="s">
        <v>23</v>
      </c>
      <c r="E865" t="s">
        <v>29</v>
      </c>
      <c r="F865">
        <v>71</v>
      </c>
      <c r="G865">
        <v>71</v>
      </c>
      <c r="H865">
        <v>80</v>
      </c>
      <c r="J865">
        <v>71</v>
      </c>
      <c r="K865">
        <v>8.4261497730000006</v>
      </c>
      <c r="L865">
        <v>71</v>
      </c>
      <c r="M865">
        <v>80</v>
      </c>
      <c r="N865">
        <v>222</v>
      </c>
      <c r="O865">
        <v>74</v>
      </c>
      <c r="P865">
        <v>71</v>
      </c>
      <c r="Q865">
        <v>1</v>
      </c>
      <c r="R865">
        <v>8.6</v>
      </c>
      <c r="S865" t="s">
        <v>30</v>
      </c>
      <c r="T865" t="s">
        <v>31</v>
      </c>
      <c r="U865">
        <v>12</v>
      </c>
    </row>
    <row r="866" spans="1:21" x14ac:dyDescent="0.25">
      <c r="A866" t="s">
        <v>34</v>
      </c>
      <c r="B866" t="s">
        <v>27</v>
      </c>
      <c r="C866" t="s">
        <v>36</v>
      </c>
      <c r="D866" t="s">
        <v>23</v>
      </c>
      <c r="E866" t="s">
        <v>24</v>
      </c>
      <c r="F866">
        <v>97</v>
      </c>
      <c r="G866">
        <v>93</v>
      </c>
      <c r="H866">
        <v>91</v>
      </c>
      <c r="J866">
        <v>97</v>
      </c>
      <c r="K866">
        <v>9.8488578019999995</v>
      </c>
      <c r="L866">
        <v>91</v>
      </c>
      <c r="M866">
        <v>97</v>
      </c>
      <c r="N866">
        <v>281</v>
      </c>
      <c r="O866">
        <v>93.666666669999998</v>
      </c>
      <c r="P866">
        <v>95</v>
      </c>
      <c r="Q866">
        <v>4</v>
      </c>
      <c r="R866">
        <v>9.68</v>
      </c>
      <c r="S866" t="s">
        <v>38</v>
      </c>
      <c r="T866" t="s">
        <v>26</v>
      </c>
      <c r="U866">
        <v>18</v>
      </c>
    </row>
    <row r="867" spans="1:21" x14ac:dyDescent="0.25">
      <c r="A867" t="s">
        <v>34</v>
      </c>
      <c r="B867" t="s">
        <v>39</v>
      </c>
      <c r="C867" t="s">
        <v>28</v>
      </c>
      <c r="D867" t="s">
        <v>23</v>
      </c>
      <c r="E867" t="s">
        <v>29</v>
      </c>
      <c r="F867">
        <v>82</v>
      </c>
      <c r="G867">
        <v>82</v>
      </c>
      <c r="H867">
        <v>88</v>
      </c>
      <c r="J867">
        <v>82</v>
      </c>
      <c r="K867">
        <v>9.0553851380000001</v>
      </c>
      <c r="L867">
        <v>82</v>
      </c>
      <c r="M867">
        <v>88</v>
      </c>
      <c r="N867">
        <v>252</v>
      </c>
      <c r="O867">
        <v>84</v>
      </c>
      <c r="P867">
        <v>82</v>
      </c>
      <c r="Q867">
        <v>1</v>
      </c>
      <c r="R867">
        <v>9.17</v>
      </c>
      <c r="S867" t="s">
        <v>30</v>
      </c>
      <c r="T867" t="s">
        <v>31</v>
      </c>
      <c r="U867">
        <v>12</v>
      </c>
    </row>
    <row r="868" spans="1:21" x14ac:dyDescent="0.25">
      <c r="A868" t="s">
        <v>34</v>
      </c>
      <c r="B868" t="s">
        <v>27</v>
      </c>
      <c r="C868" t="s">
        <v>40</v>
      </c>
      <c r="D868" t="s">
        <v>37</v>
      </c>
      <c r="E868" t="s">
        <v>24</v>
      </c>
      <c r="F868">
        <v>59</v>
      </c>
      <c r="G868">
        <v>53</v>
      </c>
      <c r="H868">
        <v>52</v>
      </c>
      <c r="J868">
        <v>59</v>
      </c>
      <c r="K868">
        <v>7.6811457479999996</v>
      </c>
      <c r="L868">
        <v>52</v>
      </c>
      <c r="M868">
        <v>59</v>
      </c>
      <c r="N868">
        <v>164</v>
      </c>
      <c r="O868">
        <v>54.666666669999998</v>
      </c>
      <c r="P868">
        <v>56</v>
      </c>
      <c r="Q868">
        <v>4</v>
      </c>
      <c r="R868">
        <v>7.39</v>
      </c>
      <c r="S868" t="s">
        <v>41</v>
      </c>
      <c r="T868" t="s">
        <v>42</v>
      </c>
      <c r="U868">
        <v>11</v>
      </c>
    </row>
    <row r="869" spans="1:21" x14ac:dyDescent="0.25">
      <c r="A869" t="s">
        <v>34</v>
      </c>
      <c r="B869" t="s">
        <v>21</v>
      </c>
      <c r="C869" t="s">
        <v>36</v>
      </c>
      <c r="D869" t="s">
        <v>23</v>
      </c>
      <c r="E869" t="s">
        <v>24</v>
      </c>
      <c r="F869">
        <v>61</v>
      </c>
      <c r="G869">
        <v>42</v>
      </c>
      <c r="H869">
        <v>41</v>
      </c>
      <c r="J869">
        <v>61</v>
      </c>
      <c r="K869">
        <v>7.8102496759999998</v>
      </c>
      <c r="L869">
        <v>41</v>
      </c>
      <c r="M869">
        <v>61</v>
      </c>
      <c r="N869">
        <v>144</v>
      </c>
      <c r="O869">
        <v>48</v>
      </c>
      <c r="P869">
        <v>51.5</v>
      </c>
      <c r="Q869">
        <v>4</v>
      </c>
      <c r="R869">
        <v>6.93</v>
      </c>
      <c r="S869" t="s">
        <v>38</v>
      </c>
      <c r="T869" t="s">
        <v>26</v>
      </c>
      <c r="U869">
        <v>18</v>
      </c>
    </row>
    <row r="870" spans="1:21" x14ac:dyDescent="0.25">
      <c r="A870" t="s">
        <v>34</v>
      </c>
      <c r="B870" t="s">
        <v>64</v>
      </c>
      <c r="C870" t="s">
        <v>36</v>
      </c>
      <c r="D870" t="s">
        <v>37</v>
      </c>
      <c r="E870" t="s">
        <v>29</v>
      </c>
      <c r="F870">
        <v>78</v>
      </c>
      <c r="G870">
        <v>74</v>
      </c>
      <c r="H870">
        <v>72</v>
      </c>
      <c r="J870">
        <v>78</v>
      </c>
      <c r="K870">
        <v>8.8317608659999998</v>
      </c>
      <c r="L870">
        <v>72</v>
      </c>
      <c r="M870">
        <v>78</v>
      </c>
      <c r="N870">
        <v>224</v>
      </c>
      <c r="O870">
        <v>74.666666669999998</v>
      </c>
      <c r="P870">
        <v>76</v>
      </c>
      <c r="Q870">
        <v>4</v>
      </c>
      <c r="R870">
        <v>8.64</v>
      </c>
      <c r="S870" t="s">
        <v>38</v>
      </c>
      <c r="T870" t="s">
        <v>26</v>
      </c>
      <c r="U870">
        <v>18</v>
      </c>
    </row>
    <row r="871" spans="1:21" x14ac:dyDescent="0.25">
      <c r="A871" t="s">
        <v>34</v>
      </c>
      <c r="B871" t="s">
        <v>27</v>
      </c>
      <c r="C871" t="s">
        <v>36</v>
      </c>
      <c r="D871" t="s">
        <v>37</v>
      </c>
      <c r="E871" t="s">
        <v>24</v>
      </c>
      <c r="F871">
        <v>49</v>
      </c>
      <c r="G871">
        <v>51</v>
      </c>
      <c r="H871">
        <v>51</v>
      </c>
      <c r="J871">
        <v>49</v>
      </c>
      <c r="K871">
        <v>7</v>
      </c>
      <c r="L871">
        <v>49</v>
      </c>
      <c r="M871">
        <v>51</v>
      </c>
      <c r="N871">
        <v>151</v>
      </c>
      <c r="O871">
        <v>50.333333330000002</v>
      </c>
      <c r="P871">
        <v>50</v>
      </c>
      <c r="Q871">
        <v>1</v>
      </c>
      <c r="R871">
        <v>7.09</v>
      </c>
      <c r="S871" t="s">
        <v>38</v>
      </c>
      <c r="T871" t="s">
        <v>26</v>
      </c>
      <c r="U871">
        <v>18</v>
      </c>
    </row>
    <row r="872" spans="1:21" x14ac:dyDescent="0.25">
      <c r="A872" t="s">
        <v>34</v>
      </c>
      <c r="B872" t="s">
        <v>21</v>
      </c>
      <c r="C872" t="s">
        <v>40</v>
      </c>
      <c r="D872" t="s">
        <v>23</v>
      </c>
      <c r="E872" t="s">
        <v>24</v>
      </c>
      <c r="F872">
        <v>59</v>
      </c>
      <c r="G872">
        <v>58</v>
      </c>
      <c r="H872">
        <v>47</v>
      </c>
      <c r="J872">
        <v>59</v>
      </c>
      <c r="K872">
        <v>7.6811457479999996</v>
      </c>
      <c r="L872">
        <v>47</v>
      </c>
      <c r="M872">
        <v>59</v>
      </c>
      <c r="N872">
        <v>164</v>
      </c>
      <c r="O872">
        <v>54.666666669999998</v>
      </c>
      <c r="P872">
        <v>58.5</v>
      </c>
      <c r="Q872">
        <v>4</v>
      </c>
      <c r="R872">
        <v>7.39</v>
      </c>
      <c r="S872" t="s">
        <v>41</v>
      </c>
      <c r="T872" t="s">
        <v>42</v>
      </c>
      <c r="U872">
        <v>11</v>
      </c>
    </row>
    <row r="873" spans="1:21" x14ac:dyDescent="0.25">
      <c r="A873" t="s">
        <v>20</v>
      </c>
      <c r="B873" t="s">
        <v>27</v>
      </c>
      <c r="C873" t="s">
        <v>28</v>
      </c>
      <c r="D873" t="s">
        <v>23</v>
      </c>
      <c r="E873" t="s">
        <v>29</v>
      </c>
      <c r="F873">
        <v>70</v>
      </c>
      <c r="G873">
        <v>72</v>
      </c>
      <c r="H873">
        <v>76</v>
      </c>
      <c r="J873">
        <v>70</v>
      </c>
      <c r="K873">
        <v>8.3666002650000006</v>
      </c>
      <c r="L873">
        <v>70</v>
      </c>
      <c r="M873">
        <v>76</v>
      </c>
      <c r="N873">
        <v>218</v>
      </c>
      <c r="O873">
        <v>72.666666669999998</v>
      </c>
      <c r="P873">
        <v>71</v>
      </c>
      <c r="Q873">
        <v>1</v>
      </c>
      <c r="R873">
        <v>8.52</v>
      </c>
      <c r="S873" t="s">
        <v>30</v>
      </c>
      <c r="T873" t="s">
        <v>31</v>
      </c>
      <c r="U873">
        <v>12</v>
      </c>
    </row>
    <row r="874" spans="1:21" x14ac:dyDescent="0.25">
      <c r="A874" t="s">
        <v>34</v>
      </c>
      <c r="B874" t="s">
        <v>21</v>
      </c>
      <c r="C874" t="s">
        <v>36</v>
      </c>
      <c r="D874" t="s">
        <v>23</v>
      </c>
      <c r="E874" t="s">
        <v>29</v>
      </c>
      <c r="F874">
        <v>82</v>
      </c>
      <c r="G874">
        <v>84</v>
      </c>
      <c r="H874">
        <v>78</v>
      </c>
      <c r="J874">
        <v>82</v>
      </c>
      <c r="K874">
        <v>9.0553851380000001</v>
      </c>
      <c r="L874">
        <v>78</v>
      </c>
      <c r="M874">
        <v>84</v>
      </c>
      <c r="N874">
        <v>244</v>
      </c>
      <c r="O874">
        <v>81.333333330000002</v>
      </c>
      <c r="P874">
        <v>82</v>
      </c>
      <c r="Q874">
        <v>4</v>
      </c>
      <c r="R874">
        <v>9.02</v>
      </c>
      <c r="S874" t="s">
        <v>38</v>
      </c>
      <c r="T874" t="s">
        <v>26</v>
      </c>
      <c r="U874">
        <v>18</v>
      </c>
    </row>
    <row r="875" spans="1:21" x14ac:dyDescent="0.25">
      <c r="A875" t="s">
        <v>34</v>
      </c>
      <c r="B875" t="s">
        <v>64</v>
      </c>
      <c r="C875" t="s">
        <v>36</v>
      </c>
      <c r="D875" t="s">
        <v>37</v>
      </c>
      <c r="E875" t="s">
        <v>24</v>
      </c>
      <c r="F875">
        <v>90</v>
      </c>
      <c r="G875">
        <v>90</v>
      </c>
      <c r="H875">
        <v>82</v>
      </c>
      <c r="J875">
        <v>90</v>
      </c>
      <c r="K875">
        <v>9.4868329809999992</v>
      </c>
      <c r="L875">
        <v>82</v>
      </c>
      <c r="M875">
        <v>90</v>
      </c>
      <c r="N875">
        <v>262</v>
      </c>
      <c r="O875">
        <v>87.333333330000002</v>
      </c>
      <c r="P875">
        <v>90</v>
      </c>
      <c r="Q875">
        <v>4</v>
      </c>
      <c r="R875">
        <v>9.35</v>
      </c>
      <c r="S875" t="s">
        <v>38</v>
      </c>
      <c r="T875" t="s">
        <v>26</v>
      </c>
      <c r="U875">
        <v>18</v>
      </c>
    </row>
    <row r="876" spans="1:21" x14ac:dyDescent="0.25">
      <c r="A876" t="s">
        <v>20</v>
      </c>
      <c r="B876" t="s">
        <v>27</v>
      </c>
      <c r="C876" t="s">
        <v>22</v>
      </c>
      <c r="D876" t="s">
        <v>37</v>
      </c>
      <c r="E876" t="s">
        <v>24</v>
      </c>
      <c r="F876">
        <v>43</v>
      </c>
      <c r="G876">
        <v>62</v>
      </c>
      <c r="H876">
        <v>61</v>
      </c>
      <c r="J876">
        <v>43</v>
      </c>
      <c r="K876">
        <v>6.5574385240000002</v>
      </c>
      <c r="L876">
        <v>43</v>
      </c>
      <c r="M876">
        <v>62</v>
      </c>
      <c r="N876">
        <v>166</v>
      </c>
      <c r="O876">
        <v>55.333333330000002</v>
      </c>
      <c r="P876">
        <v>52</v>
      </c>
      <c r="Q876">
        <v>2</v>
      </c>
      <c r="R876">
        <v>7.44</v>
      </c>
      <c r="S876" t="s">
        <v>25</v>
      </c>
      <c r="T876" t="s">
        <v>26</v>
      </c>
      <c r="U876">
        <v>17</v>
      </c>
    </row>
    <row r="877" spans="1:21" x14ac:dyDescent="0.25">
      <c r="A877" t="s">
        <v>34</v>
      </c>
      <c r="B877" t="s">
        <v>27</v>
      </c>
      <c r="C877" t="s">
        <v>28</v>
      </c>
      <c r="D877" t="s">
        <v>37</v>
      </c>
      <c r="E877" t="s">
        <v>24</v>
      </c>
      <c r="F877">
        <v>80</v>
      </c>
      <c r="G877">
        <v>64</v>
      </c>
      <c r="H877">
        <v>66</v>
      </c>
      <c r="J877">
        <v>80</v>
      </c>
      <c r="K877">
        <v>8.9442719099999994</v>
      </c>
      <c r="L877">
        <v>64</v>
      </c>
      <c r="M877">
        <v>80</v>
      </c>
      <c r="N877">
        <v>210</v>
      </c>
      <c r="O877">
        <v>70</v>
      </c>
      <c r="P877">
        <v>73</v>
      </c>
      <c r="Q877">
        <v>3</v>
      </c>
      <c r="R877">
        <v>8.3699999999999992</v>
      </c>
      <c r="S877" t="s">
        <v>30</v>
      </c>
      <c r="T877" t="s">
        <v>31</v>
      </c>
      <c r="U877">
        <v>12</v>
      </c>
    </row>
    <row r="878" spans="1:21" x14ac:dyDescent="0.25">
      <c r="A878" t="s">
        <v>34</v>
      </c>
      <c r="B878" t="s">
        <v>39</v>
      </c>
      <c r="C878" t="s">
        <v>28</v>
      </c>
      <c r="D878" t="s">
        <v>23</v>
      </c>
      <c r="E878" t="s">
        <v>24</v>
      </c>
      <c r="F878">
        <v>81</v>
      </c>
      <c r="G878">
        <v>82</v>
      </c>
      <c r="H878">
        <v>84</v>
      </c>
      <c r="J878">
        <v>81</v>
      </c>
      <c r="K878">
        <v>9</v>
      </c>
      <c r="L878">
        <v>81</v>
      </c>
      <c r="M878">
        <v>84</v>
      </c>
      <c r="N878">
        <v>247</v>
      </c>
      <c r="O878">
        <v>82.333333330000002</v>
      </c>
      <c r="P878">
        <v>81.5</v>
      </c>
      <c r="Q878">
        <v>1</v>
      </c>
      <c r="R878">
        <v>9.07</v>
      </c>
      <c r="S878" t="s">
        <v>30</v>
      </c>
      <c r="T878" t="s">
        <v>31</v>
      </c>
      <c r="U878">
        <v>12</v>
      </c>
    </row>
    <row r="879" spans="1:21" x14ac:dyDescent="0.25">
      <c r="A879" t="s">
        <v>34</v>
      </c>
      <c r="B879" t="s">
        <v>27</v>
      </c>
      <c r="C879" t="s">
        <v>50</v>
      </c>
      <c r="D879" t="s">
        <v>23</v>
      </c>
      <c r="E879" t="s">
        <v>24</v>
      </c>
      <c r="F879">
        <v>57</v>
      </c>
      <c r="G879">
        <v>61</v>
      </c>
      <c r="H879">
        <v>54</v>
      </c>
      <c r="J879">
        <v>57</v>
      </c>
      <c r="K879">
        <v>7.5498344350000002</v>
      </c>
      <c r="L879">
        <v>54</v>
      </c>
      <c r="M879">
        <v>61</v>
      </c>
      <c r="N879">
        <v>172</v>
      </c>
      <c r="O879">
        <v>57.333333330000002</v>
      </c>
      <c r="P879">
        <v>57</v>
      </c>
      <c r="Q879">
        <v>4</v>
      </c>
      <c r="R879">
        <v>7.57</v>
      </c>
      <c r="S879" t="s">
        <v>30</v>
      </c>
      <c r="T879" t="s">
        <v>42</v>
      </c>
      <c r="U879">
        <v>16</v>
      </c>
    </row>
    <row r="880" spans="1:21" x14ac:dyDescent="0.25">
      <c r="A880" t="s">
        <v>20</v>
      </c>
      <c r="B880" t="s">
        <v>39</v>
      </c>
      <c r="C880" t="s">
        <v>50</v>
      </c>
      <c r="D880" t="s">
        <v>23</v>
      </c>
      <c r="E880" t="s">
        <v>24</v>
      </c>
      <c r="F880">
        <v>59</v>
      </c>
      <c r="G880">
        <v>72</v>
      </c>
      <c r="H880">
        <v>80</v>
      </c>
      <c r="J880">
        <v>59</v>
      </c>
      <c r="K880">
        <v>7.6811457479999996</v>
      </c>
      <c r="L880">
        <v>59</v>
      </c>
      <c r="M880">
        <v>80</v>
      </c>
      <c r="N880">
        <v>211</v>
      </c>
      <c r="O880">
        <v>70.333333330000002</v>
      </c>
      <c r="P880">
        <v>65.5</v>
      </c>
      <c r="Q880">
        <v>1</v>
      </c>
      <c r="R880">
        <v>8.39</v>
      </c>
      <c r="S880" t="s">
        <v>30</v>
      </c>
      <c r="T880" t="s">
        <v>42</v>
      </c>
      <c r="U880">
        <v>16</v>
      </c>
    </row>
    <row r="881" spans="1:21" x14ac:dyDescent="0.25">
      <c r="A881" t="s">
        <v>20</v>
      </c>
      <c r="B881" t="s">
        <v>39</v>
      </c>
      <c r="C881" t="s">
        <v>36</v>
      </c>
      <c r="D881" t="s">
        <v>23</v>
      </c>
      <c r="E881" t="s">
        <v>24</v>
      </c>
      <c r="F881">
        <v>64</v>
      </c>
      <c r="G881">
        <v>76</v>
      </c>
      <c r="H881">
        <v>74</v>
      </c>
      <c r="J881">
        <v>64</v>
      </c>
      <c r="K881">
        <v>8</v>
      </c>
      <c r="L881">
        <v>64</v>
      </c>
      <c r="M881">
        <v>76</v>
      </c>
      <c r="N881">
        <v>214</v>
      </c>
      <c r="O881">
        <v>71.333333330000002</v>
      </c>
      <c r="P881">
        <v>69</v>
      </c>
      <c r="Q881">
        <v>2</v>
      </c>
      <c r="R881">
        <v>8.4499999999999993</v>
      </c>
      <c r="S881" t="s">
        <v>38</v>
      </c>
      <c r="T881" t="s">
        <v>26</v>
      </c>
      <c r="U881">
        <v>18</v>
      </c>
    </row>
    <row r="882" spans="1:21" x14ac:dyDescent="0.25">
      <c r="A882" t="s">
        <v>34</v>
      </c>
      <c r="B882" t="s">
        <v>27</v>
      </c>
      <c r="C882" t="s">
        <v>22</v>
      </c>
      <c r="D882" t="s">
        <v>23</v>
      </c>
      <c r="E882" t="s">
        <v>29</v>
      </c>
      <c r="F882">
        <v>63</v>
      </c>
      <c r="G882">
        <v>64</v>
      </c>
      <c r="H882">
        <v>66</v>
      </c>
      <c r="J882">
        <v>63</v>
      </c>
      <c r="K882">
        <v>7.937253933</v>
      </c>
      <c r="L882">
        <v>63</v>
      </c>
      <c r="M882">
        <v>66</v>
      </c>
      <c r="N882">
        <v>193</v>
      </c>
      <c r="O882">
        <v>64.333333330000002</v>
      </c>
      <c r="P882">
        <v>63.5</v>
      </c>
      <c r="Q882">
        <v>1</v>
      </c>
      <c r="R882">
        <v>8.02</v>
      </c>
      <c r="S882" t="s">
        <v>25</v>
      </c>
      <c r="T882" t="s">
        <v>26</v>
      </c>
      <c r="U882">
        <v>17</v>
      </c>
    </row>
    <row r="883" spans="1:21" x14ac:dyDescent="0.25">
      <c r="A883" t="s">
        <v>20</v>
      </c>
      <c r="B883" t="s">
        <v>64</v>
      </c>
      <c r="C883" t="s">
        <v>22</v>
      </c>
      <c r="D883" t="s">
        <v>23</v>
      </c>
      <c r="E883" t="s">
        <v>29</v>
      </c>
      <c r="F883">
        <v>71</v>
      </c>
      <c r="G883">
        <v>70</v>
      </c>
      <c r="H883">
        <v>70</v>
      </c>
      <c r="J883">
        <v>71</v>
      </c>
      <c r="K883">
        <v>8.4261497730000006</v>
      </c>
      <c r="L883">
        <v>70</v>
      </c>
      <c r="M883">
        <v>71</v>
      </c>
      <c r="N883">
        <v>211</v>
      </c>
      <c r="O883">
        <v>70.333333330000002</v>
      </c>
      <c r="P883">
        <v>70.5</v>
      </c>
      <c r="Q883">
        <v>3</v>
      </c>
      <c r="R883">
        <v>8.39</v>
      </c>
      <c r="S883" t="s">
        <v>25</v>
      </c>
      <c r="T883" t="s">
        <v>26</v>
      </c>
      <c r="U883">
        <v>17</v>
      </c>
    </row>
    <row r="884" spans="1:21" x14ac:dyDescent="0.25">
      <c r="A884" t="s">
        <v>20</v>
      </c>
      <c r="B884" t="s">
        <v>21</v>
      </c>
      <c r="C884" t="s">
        <v>40</v>
      </c>
      <c r="D884" t="s">
        <v>37</v>
      </c>
      <c r="E884" t="s">
        <v>24</v>
      </c>
      <c r="F884">
        <v>64</v>
      </c>
      <c r="G884">
        <v>73</v>
      </c>
      <c r="H884">
        <v>71</v>
      </c>
      <c r="J884">
        <v>64</v>
      </c>
      <c r="K884">
        <v>8</v>
      </c>
      <c r="L884">
        <v>64</v>
      </c>
      <c r="M884">
        <v>73</v>
      </c>
      <c r="N884">
        <v>208</v>
      </c>
      <c r="O884">
        <v>69.333333330000002</v>
      </c>
      <c r="P884">
        <v>67.5</v>
      </c>
      <c r="Q884">
        <v>2</v>
      </c>
      <c r="R884">
        <v>8.33</v>
      </c>
      <c r="S884" t="s">
        <v>41</v>
      </c>
      <c r="T884" t="s">
        <v>42</v>
      </c>
      <c r="U884">
        <v>11</v>
      </c>
    </row>
    <row r="885" spans="1:21" x14ac:dyDescent="0.25">
      <c r="A885" t="s">
        <v>34</v>
      </c>
      <c r="B885" t="s">
        <v>39</v>
      </c>
      <c r="C885" t="s">
        <v>22</v>
      </c>
      <c r="D885" t="s">
        <v>37</v>
      </c>
      <c r="E885" t="s">
        <v>24</v>
      </c>
      <c r="F885">
        <v>55</v>
      </c>
      <c r="G885">
        <v>46</v>
      </c>
      <c r="H885">
        <v>44</v>
      </c>
      <c r="J885">
        <v>55</v>
      </c>
      <c r="K885">
        <v>7.416198487</v>
      </c>
      <c r="L885">
        <v>44</v>
      </c>
      <c r="M885">
        <v>55</v>
      </c>
      <c r="N885">
        <v>145</v>
      </c>
      <c r="O885">
        <v>48.333333330000002</v>
      </c>
      <c r="P885">
        <v>50.5</v>
      </c>
      <c r="Q885">
        <v>4</v>
      </c>
      <c r="R885">
        <v>6.95</v>
      </c>
      <c r="S885" t="s">
        <v>25</v>
      </c>
      <c r="T885" t="s">
        <v>26</v>
      </c>
      <c r="U885">
        <v>17</v>
      </c>
    </row>
    <row r="886" spans="1:21" x14ac:dyDescent="0.25">
      <c r="A886" t="s">
        <v>20</v>
      </c>
      <c r="B886" t="s">
        <v>64</v>
      </c>
      <c r="C886" t="s">
        <v>36</v>
      </c>
      <c r="D886" t="s">
        <v>23</v>
      </c>
      <c r="E886" t="s">
        <v>24</v>
      </c>
      <c r="F886">
        <v>51</v>
      </c>
      <c r="G886">
        <v>51</v>
      </c>
      <c r="H886">
        <v>54</v>
      </c>
      <c r="J886">
        <v>51</v>
      </c>
      <c r="K886">
        <v>7.1414284290000003</v>
      </c>
      <c r="L886">
        <v>51</v>
      </c>
      <c r="M886">
        <v>54</v>
      </c>
      <c r="N886">
        <v>156</v>
      </c>
      <c r="O886">
        <v>52</v>
      </c>
      <c r="P886">
        <v>51</v>
      </c>
      <c r="Q886">
        <v>1</v>
      </c>
      <c r="R886">
        <v>7.21</v>
      </c>
      <c r="S886" t="s">
        <v>38</v>
      </c>
      <c r="T886" t="s">
        <v>26</v>
      </c>
      <c r="U886">
        <v>18</v>
      </c>
    </row>
    <row r="887" spans="1:21" x14ac:dyDescent="0.25">
      <c r="A887" t="s">
        <v>20</v>
      </c>
      <c r="B887" t="s">
        <v>27</v>
      </c>
      <c r="C887" t="s">
        <v>36</v>
      </c>
      <c r="D887" t="s">
        <v>23</v>
      </c>
      <c r="E887" t="s">
        <v>29</v>
      </c>
      <c r="F887">
        <v>62</v>
      </c>
      <c r="G887">
        <v>76</v>
      </c>
      <c r="H887">
        <v>80</v>
      </c>
      <c r="J887">
        <v>62</v>
      </c>
      <c r="K887">
        <v>7.8740078740000001</v>
      </c>
      <c r="L887">
        <v>62</v>
      </c>
      <c r="M887">
        <v>80</v>
      </c>
      <c r="N887">
        <v>218</v>
      </c>
      <c r="O887">
        <v>72.666666669999998</v>
      </c>
      <c r="P887">
        <v>69</v>
      </c>
      <c r="Q887">
        <v>1</v>
      </c>
      <c r="R887">
        <v>8.52</v>
      </c>
      <c r="S887" t="s">
        <v>38</v>
      </c>
      <c r="T887" t="s">
        <v>26</v>
      </c>
      <c r="U887">
        <v>18</v>
      </c>
    </row>
    <row r="888" spans="1:21" x14ac:dyDescent="0.25">
      <c r="A888" t="s">
        <v>20</v>
      </c>
      <c r="B888" t="s">
        <v>64</v>
      </c>
      <c r="C888" t="s">
        <v>36</v>
      </c>
      <c r="D888" t="s">
        <v>23</v>
      </c>
      <c r="E888" t="s">
        <v>29</v>
      </c>
      <c r="F888">
        <v>93</v>
      </c>
      <c r="G888">
        <v>100</v>
      </c>
      <c r="H888">
        <v>95</v>
      </c>
      <c r="J888">
        <v>93</v>
      </c>
      <c r="K888">
        <v>9.643650761</v>
      </c>
      <c r="L888">
        <v>93</v>
      </c>
      <c r="M888">
        <v>100</v>
      </c>
      <c r="N888">
        <v>288</v>
      </c>
      <c r="O888">
        <v>96</v>
      </c>
      <c r="P888">
        <v>94</v>
      </c>
      <c r="Q888">
        <v>2</v>
      </c>
      <c r="R888">
        <v>9.8000000000000007</v>
      </c>
      <c r="S888" t="s">
        <v>38</v>
      </c>
      <c r="T888" t="s">
        <v>26</v>
      </c>
      <c r="U888">
        <v>18</v>
      </c>
    </row>
    <row r="889" spans="1:21" x14ac:dyDescent="0.25">
      <c r="A889" t="s">
        <v>34</v>
      </c>
      <c r="B889" t="s">
        <v>27</v>
      </c>
      <c r="C889" t="s">
        <v>40</v>
      </c>
      <c r="D889" t="s">
        <v>37</v>
      </c>
      <c r="E889" t="s">
        <v>24</v>
      </c>
      <c r="F889">
        <v>54</v>
      </c>
      <c r="G889">
        <v>72</v>
      </c>
      <c r="H889">
        <v>59</v>
      </c>
      <c r="J889">
        <v>54</v>
      </c>
      <c r="K889">
        <v>7.3484692279999999</v>
      </c>
      <c r="L889">
        <v>54</v>
      </c>
      <c r="M889">
        <v>72</v>
      </c>
      <c r="N889">
        <v>185</v>
      </c>
      <c r="O889">
        <v>61.666666669999998</v>
      </c>
      <c r="P889">
        <v>56.5</v>
      </c>
      <c r="Q889">
        <v>2</v>
      </c>
      <c r="R889">
        <v>7.85</v>
      </c>
      <c r="S889" t="s">
        <v>41</v>
      </c>
      <c r="T889" t="s">
        <v>42</v>
      </c>
      <c r="U889">
        <v>11</v>
      </c>
    </row>
    <row r="890" spans="1:21" x14ac:dyDescent="0.25">
      <c r="A890" t="s">
        <v>20</v>
      </c>
      <c r="B890" t="s">
        <v>39</v>
      </c>
      <c r="C890" t="s">
        <v>28</v>
      </c>
      <c r="D890" t="s">
        <v>37</v>
      </c>
      <c r="E890" t="s">
        <v>24</v>
      </c>
      <c r="F890">
        <v>69</v>
      </c>
      <c r="G890">
        <v>65</v>
      </c>
      <c r="H890">
        <v>74</v>
      </c>
      <c r="J890">
        <v>69</v>
      </c>
      <c r="K890">
        <v>8.3066238630000004</v>
      </c>
      <c r="L890">
        <v>65</v>
      </c>
      <c r="M890">
        <v>74</v>
      </c>
      <c r="N890">
        <v>208</v>
      </c>
      <c r="O890">
        <v>69.333333330000002</v>
      </c>
      <c r="P890">
        <v>69</v>
      </c>
      <c r="Q890">
        <v>1</v>
      </c>
      <c r="R890">
        <v>8.33</v>
      </c>
      <c r="S890" t="s">
        <v>30</v>
      </c>
      <c r="T890" t="s">
        <v>31</v>
      </c>
      <c r="U890">
        <v>12</v>
      </c>
    </row>
    <row r="891" spans="1:21" x14ac:dyDescent="0.25">
      <c r="A891" t="s">
        <v>34</v>
      </c>
      <c r="B891" t="s">
        <v>39</v>
      </c>
      <c r="C891" t="s">
        <v>40</v>
      </c>
      <c r="D891" t="s">
        <v>37</v>
      </c>
      <c r="E891" t="s">
        <v>24</v>
      </c>
      <c r="F891">
        <v>44</v>
      </c>
      <c r="G891">
        <v>51</v>
      </c>
      <c r="H891">
        <v>48</v>
      </c>
      <c r="J891">
        <v>44</v>
      </c>
      <c r="K891">
        <v>6.6332495810000003</v>
      </c>
      <c r="L891">
        <v>44</v>
      </c>
      <c r="M891">
        <v>51</v>
      </c>
      <c r="N891">
        <v>143</v>
      </c>
      <c r="O891">
        <v>47.666666669999998</v>
      </c>
      <c r="P891">
        <v>46</v>
      </c>
      <c r="Q891">
        <v>2</v>
      </c>
      <c r="R891">
        <v>6.9</v>
      </c>
      <c r="S891" t="s">
        <v>41</v>
      </c>
      <c r="T891" t="s">
        <v>42</v>
      </c>
      <c r="U891">
        <v>11</v>
      </c>
    </row>
    <row r="892" spans="1:21" x14ac:dyDescent="0.25">
      <c r="A892" t="s">
        <v>20</v>
      </c>
      <c r="B892" t="s">
        <v>64</v>
      </c>
      <c r="C892" t="s">
        <v>28</v>
      </c>
      <c r="D892" t="s">
        <v>23</v>
      </c>
      <c r="E892" t="s">
        <v>29</v>
      </c>
      <c r="F892">
        <v>86</v>
      </c>
      <c r="G892">
        <v>85</v>
      </c>
      <c r="H892">
        <v>91</v>
      </c>
      <c r="J892">
        <v>86</v>
      </c>
      <c r="K892">
        <v>9.2736184949999991</v>
      </c>
      <c r="L892">
        <v>85</v>
      </c>
      <c r="M892">
        <v>91</v>
      </c>
      <c r="N892">
        <v>262</v>
      </c>
      <c r="O892">
        <v>87.333333330000002</v>
      </c>
      <c r="P892">
        <v>86</v>
      </c>
      <c r="Q892">
        <v>1</v>
      </c>
      <c r="R892">
        <v>9.35</v>
      </c>
      <c r="S892" t="s">
        <v>30</v>
      </c>
      <c r="T892" t="s">
        <v>31</v>
      </c>
      <c r="U892">
        <v>12</v>
      </c>
    </row>
    <row r="893" spans="1:21" x14ac:dyDescent="0.25">
      <c r="A893" t="s">
        <v>20</v>
      </c>
      <c r="B893" t="s">
        <v>64</v>
      </c>
      <c r="C893" t="s">
        <v>36</v>
      </c>
      <c r="D893" t="s">
        <v>23</v>
      </c>
      <c r="E893" t="s">
        <v>24</v>
      </c>
      <c r="F893">
        <v>85</v>
      </c>
      <c r="G893">
        <v>92</v>
      </c>
      <c r="H893">
        <v>85</v>
      </c>
      <c r="J893">
        <v>85</v>
      </c>
      <c r="K893">
        <v>9.2195444569999996</v>
      </c>
      <c r="L893">
        <v>85</v>
      </c>
      <c r="M893">
        <v>92</v>
      </c>
      <c r="N893">
        <v>262</v>
      </c>
      <c r="O893">
        <v>87.333333330000002</v>
      </c>
      <c r="P893">
        <v>85</v>
      </c>
      <c r="Q893">
        <v>2</v>
      </c>
      <c r="R893">
        <v>9.35</v>
      </c>
      <c r="S893" t="s">
        <v>38</v>
      </c>
      <c r="T893" t="s">
        <v>26</v>
      </c>
      <c r="U893">
        <v>18</v>
      </c>
    </row>
    <row r="894" spans="1:21" x14ac:dyDescent="0.25">
      <c r="A894" t="s">
        <v>20</v>
      </c>
      <c r="B894" t="s">
        <v>35</v>
      </c>
      <c r="C894" t="s">
        <v>32</v>
      </c>
      <c r="D894" t="s">
        <v>37</v>
      </c>
      <c r="E894" t="s">
        <v>24</v>
      </c>
      <c r="F894">
        <v>50</v>
      </c>
      <c r="G894">
        <v>67</v>
      </c>
      <c r="H894">
        <v>73</v>
      </c>
      <c r="J894">
        <v>50</v>
      </c>
      <c r="K894">
        <v>7.0710678119999999</v>
      </c>
      <c r="L894">
        <v>50</v>
      </c>
      <c r="M894">
        <v>73</v>
      </c>
      <c r="N894">
        <v>190</v>
      </c>
      <c r="O894">
        <v>63.333333330000002</v>
      </c>
      <c r="P894">
        <v>58.5</v>
      </c>
      <c r="Q894">
        <v>1</v>
      </c>
      <c r="R894">
        <v>7.96</v>
      </c>
      <c r="S894" t="s">
        <v>33</v>
      </c>
      <c r="T894" t="s">
        <v>26</v>
      </c>
      <c r="U894">
        <v>15</v>
      </c>
    </row>
    <row r="895" spans="1:21" x14ac:dyDescent="0.25">
      <c r="A895" t="s">
        <v>34</v>
      </c>
      <c r="B895" t="s">
        <v>39</v>
      </c>
      <c r="C895" t="s">
        <v>50</v>
      </c>
      <c r="D895" t="s">
        <v>23</v>
      </c>
      <c r="E895" t="s">
        <v>29</v>
      </c>
      <c r="F895">
        <v>88</v>
      </c>
      <c r="G895">
        <v>74</v>
      </c>
      <c r="H895">
        <v>75</v>
      </c>
      <c r="J895">
        <v>88</v>
      </c>
      <c r="K895">
        <v>9.3808315199999992</v>
      </c>
      <c r="L895">
        <v>74</v>
      </c>
      <c r="M895">
        <v>88</v>
      </c>
      <c r="N895">
        <v>237</v>
      </c>
      <c r="O895">
        <v>79</v>
      </c>
      <c r="P895">
        <v>81.5</v>
      </c>
      <c r="Q895">
        <v>3</v>
      </c>
      <c r="R895">
        <v>8.89</v>
      </c>
      <c r="S895" t="s">
        <v>30</v>
      </c>
      <c r="T895" t="s">
        <v>42</v>
      </c>
      <c r="U895">
        <v>16</v>
      </c>
    </row>
    <row r="896" spans="1:21" x14ac:dyDescent="0.25">
      <c r="A896" t="s">
        <v>20</v>
      </c>
      <c r="B896" t="s">
        <v>64</v>
      </c>
      <c r="C896" t="s">
        <v>36</v>
      </c>
      <c r="D896" t="s">
        <v>23</v>
      </c>
      <c r="E896" t="s">
        <v>24</v>
      </c>
      <c r="F896">
        <v>59</v>
      </c>
      <c r="G896">
        <v>62</v>
      </c>
      <c r="H896">
        <v>69</v>
      </c>
      <c r="J896">
        <v>59</v>
      </c>
      <c r="K896">
        <v>7.6811457479999996</v>
      </c>
      <c r="L896">
        <v>59</v>
      </c>
      <c r="M896">
        <v>69</v>
      </c>
      <c r="N896">
        <v>190</v>
      </c>
      <c r="O896">
        <v>63.333333330000002</v>
      </c>
      <c r="P896">
        <v>60.5</v>
      </c>
      <c r="Q896">
        <v>1</v>
      </c>
      <c r="R896">
        <v>7.96</v>
      </c>
      <c r="S896" t="s">
        <v>38</v>
      </c>
      <c r="T896" t="s">
        <v>26</v>
      </c>
      <c r="U896">
        <v>18</v>
      </c>
    </row>
    <row r="897" spans="1:21" x14ac:dyDescent="0.25">
      <c r="A897" t="s">
        <v>20</v>
      </c>
      <c r="B897" t="s">
        <v>64</v>
      </c>
      <c r="C897" t="s">
        <v>50</v>
      </c>
      <c r="D897" t="s">
        <v>37</v>
      </c>
      <c r="E897" t="s">
        <v>24</v>
      </c>
      <c r="F897">
        <v>32</v>
      </c>
      <c r="G897">
        <v>34</v>
      </c>
      <c r="H897">
        <v>38</v>
      </c>
      <c r="J897">
        <v>32</v>
      </c>
      <c r="K897">
        <v>5.6568542490000002</v>
      </c>
      <c r="L897">
        <v>32</v>
      </c>
      <c r="M897">
        <v>38</v>
      </c>
      <c r="N897">
        <v>104</v>
      </c>
      <c r="O897">
        <v>34.666666669999998</v>
      </c>
      <c r="P897">
        <v>33</v>
      </c>
      <c r="Q897">
        <v>1</v>
      </c>
      <c r="R897">
        <v>5.89</v>
      </c>
      <c r="S897" t="s">
        <v>30</v>
      </c>
      <c r="T897" t="s">
        <v>42</v>
      </c>
      <c r="U897">
        <v>16</v>
      </c>
    </row>
    <row r="898" spans="1:21" x14ac:dyDescent="0.25">
      <c r="A898" t="s">
        <v>34</v>
      </c>
      <c r="B898" t="s">
        <v>21</v>
      </c>
      <c r="C898" t="s">
        <v>40</v>
      </c>
      <c r="D898" t="s">
        <v>37</v>
      </c>
      <c r="E898" t="s">
        <v>24</v>
      </c>
      <c r="F898">
        <v>36</v>
      </c>
      <c r="G898">
        <v>29</v>
      </c>
      <c r="H898">
        <v>27</v>
      </c>
      <c r="J898">
        <v>36</v>
      </c>
      <c r="K898">
        <v>6</v>
      </c>
      <c r="L898">
        <v>27</v>
      </c>
      <c r="M898">
        <v>36</v>
      </c>
      <c r="N898">
        <v>92</v>
      </c>
      <c r="O898">
        <v>30.666666670000001</v>
      </c>
      <c r="P898">
        <v>32.5</v>
      </c>
      <c r="Q898">
        <v>4</v>
      </c>
      <c r="R898">
        <v>5.54</v>
      </c>
      <c r="S898" t="s">
        <v>41</v>
      </c>
      <c r="T898" t="s">
        <v>42</v>
      </c>
      <c r="U898">
        <v>11</v>
      </c>
    </row>
    <row r="899" spans="1:21" x14ac:dyDescent="0.25">
      <c r="A899" t="s">
        <v>20</v>
      </c>
      <c r="B899" t="s">
        <v>21</v>
      </c>
      <c r="C899" t="s">
        <v>50</v>
      </c>
      <c r="D899" t="s">
        <v>37</v>
      </c>
      <c r="E899" t="s">
        <v>29</v>
      </c>
      <c r="F899">
        <v>63</v>
      </c>
      <c r="G899">
        <v>78</v>
      </c>
      <c r="H899">
        <v>79</v>
      </c>
      <c r="J899">
        <v>63</v>
      </c>
      <c r="K899">
        <v>7.937253933</v>
      </c>
      <c r="L899">
        <v>63</v>
      </c>
      <c r="M899">
        <v>79</v>
      </c>
      <c r="N899">
        <v>220</v>
      </c>
      <c r="O899">
        <v>73.333333330000002</v>
      </c>
      <c r="P899">
        <v>70.5</v>
      </c>
      <c r="Q899">
        <v>1</v>
      </c>
      <c r="R899">
        <v>8.56</v>
      </c>
      <c r="S899" t="s">
        <v>30</v>
      </c>
      <c r="T899" t="s">
        <v>42</v>
      </c>
      <c r="U899">
        <v>16</v>
      </c>
    </row>
    <row r="900" spans="1:21" x14ac:dyDescent="0.25">
      <c r="A900" t="s">
        <v>34</v>
      </c>
      <c r="B900" t="s">
        <v>39</v>
      </c>
      <c r="C900" t="s">
        <v>36</v>
      </c>
      <c r="D900" t="s">
        <v>23</v>
      </c>
      <c r="E900" t="s">
        <v>29</v>
      </c>
      <c r="F900">
        <v>67</v>
      </c>
      <c r="G900">
        <v>54</v>
      </c>
      <c r="H900">
        <v>63</v>
      </c>
      <c r="J900">
        <v>67</v>
      </c>
      <c r="K900">
        <v>8.1853527719999999</v>
      </c>
      <c r="L900">
        <v>54</v>
      </c>
      <c r="M900">
        <v>67</v>
      </c>
      <c r="N900">
        <v>184</v>
      </c>
      <c r="O900">
        <v>61.333333330000002</v>
      </c>
      <c r="P900">
        <v>65</v>
      </c>
      <c r="Q900">
        <v>3</v>
      </c>
      <c r="R900">
        <v>7.83</v>
      </c>
      <c r="S900" t="s">
        <v>38</v>
      </c>
      <c r="T900" t="s">
        <v>26</v>
      </c>
      <c r="U900">
        <v>18</v>
      </c>
    </row>
    <row r="901" spans="1:21" x14ac:dyDescent="0.25">
      <c r="A901" t="s">
        <v>20</v>
      </c>
      <c r="B901" t="s">
        <v>39</v>
      </c>
      <c r="C901" t="s">
        <v>50</v>
      </c>
      <c r="D901" t="s">
        <v>23</v>
      </c>
      <c r="E901" t="s">
        <v>29</v>
      </c>
      <c r="F901">
        <v>65</v>
      </c>
      <c r="G901">
        <v>78</v>
      </c>
      <c r="H901">
        <v>82</v>
      </c>
      <c r="J901">
        <v>65</v>
      </c>
      <c r="K901">
        <v>8.0622577480000004</v>
      </c>
      <c r="L901">
        <v>65</v>
      </c>
      <c r="M901">
        <v>82</v>
      </c>
      <c r="N901">
        <v>225</v>
      </c>
      <c r="O901">
        <v>75</v>
      </c>
      <c r="P901">
        <v>71.5</v>
      </c>
      <c r="Q901">
        <v>1</v>
      </c>
      <c r="R901">
        <v>8.66</v>
      </c>
      <c r="S901" t="s">
        <v>30</v>
      </c>
      <c r="T901" t="s">
        <v>42</v>
      </c>
      <c r="U901">
        <v>16</v>
      </c>
    </row>
    <row r="902" spans="1:21" x14ac:dyDescent="0.25">
      <c r="A902" t="s">
        <v>34</v>
      </c>
      <c r="B902" t="s">
        <v>39</v>
      </c>
      <c r="C902" t="s">
        <v>32</v>
      </c>
      <c r="D902" t="s">
        <v>23</v>
      </c>
      <c r="E902" t="s">
        <v>24</v>
      </c>
      <c r="F902">
        <v>85</v>
      </c>
      <c r="G902">
        <v>84</v>
      </c>
      <c r="H902">
        <v>89</v>
      </c>
      <c r="J902">
        <v>85</v>
      </c>
      <c r="K902">
        <v>9.2195444569999996</v>
      </c>
      <c r="L902">
        <v>84</v>
      </c>
      <c r="M902">
        <v>89</v>
      </c>
      <c r="N902">
        <v>258</v>
      </c>
      <c r="O902">
        <v>86</v>
      </c>
      <c r="P902">
        <v>85</v>
      </c>
      <c r="Q902">
        <v>1</v>
      </c>
      <c r="R902">
        <v>9.27</v>
      </c>
      <c r="S902" t="s">
        <v>33</v>
      </c>
      <c r="T902" t="s">
        <v>26</v>
      </c>
      <c r="U902">
        <v>15</v>
      </c>
    </row>
    <row r="903" spans="1:21" x14ac:dyDescent="0.25">
      <c r="A903" t="s">
        <v>20</v>
      </c>
      <c r="B903" t="s">
        <v>27</v>
      </c>
      <c r="C903" t="s">
        <v>32</v>
      </c>
      <c r="D903" t="s">
        <v>23</v>
      </c>
      <c r="E903" t="s">
        <v>24</v>
      </c>
      <c r="F903">
        <v>73</v>
      </c>
      <c r="G903">
        <v>78</v>
      </c>
      <c r="H903">
        <v>74</v>
      </c>
      <c r="J903">
        <v>73</v>
      </c>
      <c r="K903">
        <v>8.5440037449999995</v>
      </c>
      <c r="L903">
        <v>73</v>
      </c>
      <c r="M903">
        <v>78</v>
      </c>
      <c r="N903">
        <v>225</v>
      </c>
      <c r="O903">
        <v>75</v>
      </c>
      <c r="P903">
        <v>73.5</v>
      </c>
      <c r="Q903">
        <v>2</v>
      </c>
      <c r="R903">
        <v>8.66</v>
      </c>
      <c r="S903" t="s">
        <v>33</v>
      </c>
      <c r="T903" t="s">
        <v>26</v>
      </c>
      <c r="U903">
        <v>15</v>
      </c>
    </row>
    <row r="904" spans="1:21" x14ac:dyDescent="0.25">
      <c r="A904" t="s">
        <v>20</v>
      </c>
      <c r="B904" t="s">
        <v>35</v>
      </c>
      <c r="C904" t="s">
        <v>40</v>
      </c>
      <c r="D904" t="s">
        <v>37</v>
      </c>
      <c r="E904" t="s">
        <v>29</v>
      </c>
      <c r="F904">
        <v>34</v>
      </c>
      <c r="G904">
        <v>48</v>
      </c>
      <c r="H904">
        <v>41</v>
      </c>
      <c r="J904">
        <v>34</v>
      </c>
      <c r="K904">
        <v>5.8309518950000001</v>
      </c>
      <c r="L904">
        <v>34</v>
      </c>
      <c r="M904">
        <v>48</v>
      </c>
      <c r="N904">
        <v>123</v>
      </c>
      <c r="O904">
        <v>41</v>
      </c>
      <c r="P904">
        <v>37.5</v>
      </c>
      <c r="Q904">
        <v>2</v>
      </c>
      <c r="R904">
        <v>6.4</v>
      </c>
      <c r="S904" t="s">
        <v>41</v>
      </c>
      <c r="T904" t="s">
        <v>42</v>
      </c>
      <c r="U904">
        <v>11</v>
      </c>
    </row>
    <row r="905" spans="1:21" x14ac:dyDescent="0.25">
      <c r="A905" t="s">
        <v>20</v>
      </c>
      <c r="B905" t="s">
        <v>39</v>
      </c>
      <c r="C905" t="s">
        <v>22</v>
      </c>
      <c r="D905" t="s">
        <v>37</v>
      </c>
      <c r="E905" t="s">
        <v>29</v>
      </c>
      <c r="F905">
        <v>93</v>
      </c>
      <c r="G905">
        <v>100</v>
      </c>
      <c r="H905">
        <v>100</v>
      </c>
      <c r="J905">
        <v>93</v>
      </c>
      <c r="K905">
        <v>9.643650761</v>
      </c>
      <c r="L905">
        <v>93</v>
      </c>
      <c r="M905">
        <v>100</v>
      </c>
      <c r="N905">
        <v>293</v>
      </c>
      <c r="O905">
        <v>97.666666669999998</v>
      </c>
      <c r="P905">
        <v>96.5</v>
      </c>
      <c r="Q905">
        <v>1</v>
      </c>
      <c r="R905">
        <v>9.8800000000000008</v>
      </c>
      <c r="S905" t="s">
        <v>25</v>
      </c>
      <c r="T905" t="s">
        <v>26</v>
      </c>
      <c r="U905">
        <v>17</v>
      </c>
    </row>
    <row r="906" spans="1:21" x14ac:dyDescent="0.25">
      <c r="A906" t="s">
        <v>20</v>
      </c>
      <c r="B906" t="s">
        <v>39</v>
      </c>
      <c r="C906" t="s">
        <v>50</v>
      </c>
      <c r="D906" t="s">
        <v>37</v>
      </c>
      <c r="E906" t="s">
        <v>24</v>
      </c>
      <c r="F906">
        <v>67</v>
      </c>
      <c r="G906">
        <v>84</v>
      </c>
      <c r="H906">
        <v>84</v>
      </c>
      <c r="J906">
        <v>67</v>
      </c>
      <c r="K906">
        <v>8.1853527719999999</v>
      </c>
      <c r="L906">
        <v>67</v>
      </c>
      <c r="M906">
        <v>84</v>
      </c>
      <c r="N906">
        <v>235</v>
      </c>
      <c r="O906">
        <v>78.333333330000002</v>
      </c>
      <c r="P906">
        <v>75.5</v>
      </c>
      <c r="Q906">
        <v>1</v>
      </c>
      <c r="R906">
        <v>8.85</v>
      </c>
      <c r="S906" t="s">
        <v>30</v>
      </c>
      <c r="T906" t="s">
        <v>42</v>
      </c>
      <c r="U906">
        <v>16</v>
      </c>
    </row>
    <row r="907" spans="1:21" x14ac:dyDescent="0.25">
      <c r="A907" t="s">
        <v>34</v>
      </c>
      <c r="B907" t="s">
        <v>39</v>
      </c>
      <c r="C907" t="s">
        <v>28</v>
      </c>
      <c r="D907" t="s">
        <v>23</v>
      </c>
      <c r="E907" t="s">
        <v>24</v>
      </c>
      <c r="F907">
        <v>88</v>
      </c>
      <c r="G907">
        <v>77</v>
      </c>
      <c r="H907">
        <v>77</v>
      </c>
      <c r="J907">
        <v>88</v>
      </c>
      <c r="K907">
        <v>9.3808315199999992</v>
      </c>
      <c r="L907">
        <v>77</v>
      </c>
      <c r="M907">
        <v>88</v>
      </c>
      <c r="N907">
        <v>242</v>
      </c>
      <c r="O907">
        <v>80.666666669999998</v>
      </c>
      <c r="P907">
        <v>82.5</v>
      </c>
      <c r="Q907">
        <v>3</v>
      </c>
      <c r="R907">
        <v>8.98</v>
      </c>
      <c r="S907" t="s">
        <v>30</v>
      </c>
      <c r="T907" t="s">
        <v>31</v>
      </c>
      <c r="U907">
        <v>12</v>
      </c>
    </row>
    <row r="908" spans="1:21" x14ac:dyDescent="0.25">
      <c r="A908" t="s">
        <v>34</v>
      </c>
      <c r="B908" t="s">
        <v>21</v>
      </c>
      <c r="C908" t="s">
        <v>40</v>
      </c>
      <c r="D908" t="s">
        <v>23</v>
      </c>
      <c r="E908" t="s">
        <v>24</v>
      </c>
      <c r="F908">
        <v>57</v>
      </c>
      <c r="G908">
        <v>48</v>
      </c>
      <c r="H908">
        <v>51</v>
      </c>
      <c r="J908">
        <v>57</v>
      </c>
      <c r="K908">
        <v>7.5498344350000002</v>
      </c>
      <c r="L908">
        <v>48</v>
      </c>
      <c r="M908">
        <v>57</v>
      </c>
      <c r="N908">
        <v>156</v>
      </c>
      <c r="O908">
        <v>52</v>
      </c>
      <c r="P908">
        <v>54</v>
      </c>
      <c r="Q908">
        <v>3</v>
      </c>
      <c r="R908">
        <v>7.21</v>
      </c>
      <c r="S908" t="s">
        <v>41</v>
      </c>
      <c r="T908" t="s">
        <v>42</v>
      </c>
      <c r="U908">
        <v>11</v>
      </c>
    </row>
    <row r="909" spans="1:21" x14ac:dyDescent="0.25">
      <c r="A909" t="s">
        <v>20</v>
      </c>
      <c r="B909" t="s">
        <v>39</v>
      </c>
      <c r="C909" t="s">
        <v>28</v>
      </c>
      <c r="D909" t="s">
        <v>23</v>
      </c>
      <c r="E909" t="s">
        <v>29</v>
      </c>
      <c r="F909">
        <v>79</v>
      </c>
      <c r="G909">
        <v>84</v>
      </c>
      <c r="H909">
        <v>91</v>
      </c>
      <c r="J909">
        <v>79</v>
      </c>
      <c r="K909">
        <v>8.8881944169999993</v>
      </c>
      <c r="L909">
        <v>79</v>
      </c>
      <c r="M909">
        <v>91</v>
      </c>
      <c r="N909">
        <v>254</v>
      </c>
      <c r="O909">
        <v>84.666666669999998</v>
      </c>
      <c r="P909">
        <v>81.5</v>
      </c>
      <c r="Q909">
        <v>1</v>
      </c>
      <c r="R909">
        <v>9.1999999999999993</v>
      </c>
      <c r="S909" t="s">
        <v>30</v>
      </c>
      <c r="T909" t="s">
        <v>31</v>
      </c>
      <c r="U909">
        <v>12</v>
      </c>
    </row>
    <row r="910" spans="1:21" x14ac:dyDescent="0.25">
      <c r="A910" t="s">
        <v>20</v>
      </c>
      <c r="B910" t="s">
        <v>27</v>
      </c>
      <c r="C910" t="s">
        <v>22</v>
      </c>
      <c r="D910" t="s">
        <v>37</v>
      </c>
      <c r="E910" t="s">
        <v>24</v>
      </c>
      <c r="F910">
        <v>67</v>
      </c>
      <c r="G910">
        <v>75</v>
      </c>
      <c r="H910">
        <v>72</v>
      </c>
      <c r="J910">
        <v>67</v>
      </c>
      <c r="K910">
        <v>8.1853527719999999</v>
      </c>
      <c r="L910">
        <v>67</v>
      </c>
      <c r="M910">
        <v>75</v>
      </c>
      <c r="N910">
        <v>214</v>
      </c>
      <c r="O910">
        <v>71.333333330000002</v>
      </c>
      <c r="P910">
        <v>69.5</v>
      </c>
      <c r="Q910">
        <v>2</v>
      </c>
      <c r="R910">
        <v>8.4499999999999993</v>
      </c>
      <c r="S910" t="s">
        <v>25</v>
      </c>
      <c r="T910" t="s">
        <v>26</v>
      </c>
      <c r="U910">
        <v>17</v>
      </c>
    </row>
    <row r="911" spans="1:21" x14ac:dyDescent="0.25">
      <c r="A911" t="s">
        <v>34</v>
      </c>
      <c r="B911" t="s">
        <v>64</v>
      </c>
      <c r="C911" t="s">
        <v>22</v>
      </c>
      <c r="D911" t="s">
        <v>23</v>
      </c>
      <c r="E911" t="s">
        <v>29</v>
      </c>
      <c r="F911">
        <v>70</v>
      </c>
      <c r="G911">
        <v>64</v>
      </c>
      <c r="H911">
        <v>70</v>
      </c>
      <c r="J911">
        <v>70</v>
      </c>
      <c r="K911">
        <v>8.3666002650000006</v>
      </c>
      <c r="L911">
        <v>64</v>
      </c>
      <c r="M911">
        <v>70</v>
      </c>
      <c r="N911">
        <v>204</v>
      </c>
      <c r="O911">
        <v>68</v>
      </c>
      <c r="P911">
        <v>70</v>
      </c>
      <c r="Q911">
        <v>1</v>
      </c>
      <c r="R911">
        <v>8.25</v>
      </c>
      <c r="S911" t="s">
        <v>25</v>
      </c>
      <c r="T911" t="s">
        <v>26</v>
      </c>
      <c r="U911">
        <v>17</v>
      </c>
    </row>
    <row r="912" spans="1:21" x14ac:dyDescent="0.25">
      <c r="A912" t="s">
        <v>34</v>
      </c>
      <c r="B912" t="s">
        <v>39</v>
      </c>
      <c r="C912" t="s">
        <v>22</v>
      </c>
      <c r="D912" t="s">
        <v>37</v>
      </c>
      <c r="E912" t="s">
        <v>24</v>
      </c>
      <c r="F912">
        <v>50</v>
      </c>
      <c r="G912">
        <v>42</v>
      </c>
      <c r="H912">
        <v>48</v>
      </c>
      <c r="J912">
        <v>50</v>
      </c>
      <c r="K912">
        <v>7.0710678119999999</v>
      </c>
      <c r="L912">
        <v>42</v>
      </c>
      <c r="M912">
        <v>50</v>
      </c>
      <c r="N912">
        <v>140</v>
      </c>
      <c r="O912">
        <v>46.666666669999998</v>
      </c>
      <c r="P912">
        <v>49</v>
      </c>
      <c r="Q912">
        <v>3</v>
      </c>
      <c r="R912">
        <v>6.83</v>
      </c>
      <c r="S912" t="s">
        <v>25</v>
      </c>
      <c r="T912" t="s">
        <v>26</v>
      </c>
      <c r="U912">
        <v>17</v>
      </c>
    </row>
    <row r="913" spans="1:21" x14ac:dyDescent="0.25">
      <c r="A913" t="s">
        <v>20</v>
      </c>
      <c r="B913" t="s">
        <v>35</v>
      </c>
      <c r="C913" t="s">
        <v>28</v>
      </c>
      <c r="D913" t="s">
        <v>23</v>
      </c>
      <c r="E913" t="s">
        <v>24</v>
      </c>
      <c r="F913">
        <v>69</v>
      </c>
      <c r="G913">
        <v>84</v>
      </c>
      <c r="H913">
        <v>82</v>
      </c>
      <c r="J913">
        <v>69</v>
      </c>
      <c r="K913">
        <v>8.3066238630000004</v>
      </c>
      <c r="L913">
        <v>69</v>
      </c>
      <c r="M913">
        <v>84</v>
      </c>
      <c r="N913">
        <v>235</v>
      </c>
      <c r="O913">
        <v>78.333333330000002</v>
      </c>
      <c r="P913">
        <v>75.5</v>
      </c>
      <c r="Q913">
        <v>2</v>
      </c>
      <c r="R913">
        <v>8.85</v>
      </c>
      <c r="S913" t="s">
        <v>30</v>
      </c>
      <c r="T913" t="s">
        <v>31</v>
      </c>
      <c r="U913">
        <v>12</v>
      </c>
    </row>
    <row r="914" spans="1:21" x14ac:dyDescent="0.25">
      <c r="A914" t="s">
        <v>20</v>
      </c>
      <c r="B914" t="s">
        <v>27</v>
      </c>
      <c r="C914" t="s">
        <v>22</v>
      </c>
      <c r="D914" t="s">
        <v>23</v>
      </c>
      <c r="E914" t="s">
        <v>29</v>
      </c>
      <c r="F914">
        <v>52</v>
      </c>
      <c r="G914">
        <v>61</v>
      </c>
      <c r="H914">
        <v>66</v>
      </c>
      <c r="J914">
        <v>52</v>
      </c>
      <c r="K914">
        <v>7.2111025509999997</v>
      </c>
      <c r="L914">
        <v>52</v>
      </c>
      <c r="M914">
        <v>66</v>
      </c>
      <c r="N914">
        <v>179</v>
      </c>
      <c r="O914">
        <v>59.666666669999998</v>
      </c>
      <c r="P914">
        <v>56.5</v>
      </c>
      <c r="Q914">
        <v>1</v>
      </c>
      <c r="R914">
        <v>7.72</v>
      </c>
      <c r="S914" t="s">
        <v>25</v>
      </c>
      <c r="T914" t="s">
        <v>26</v>
      </c>
      <c r="U914">
        <v>17</v>
      </c>
    </row>
    <row r="915" spans="1:21" x14ac:dyDescent="0.25">
      <c r="A915" t="s">
        <v>20</v>
      </c>
      <c r="B915" t="s">
        <v>27</v>
      </c>
      <c r="C915" t="s">
        <v>22</v>
      </c>
      <c r="D915" t="s">
        <v>37</v>
      </c>
      <c r="E915" t="s">
        <v>29</v>
      </c>
      <c r="F915">
        <v>47</v>
      </c>
      <c r="G915">
        <v>62</v>
      </c>
      <c r="H915">
        <v>66</v>
      </c>
      <c r="J915">
        <v>47</v>
      </c>
      <c r="K915">
        <v>6.8556546000000003</v>
      </c>
      <c r="L915">
        <v>47</v>
      </c>
      <c r="M915">
        <v>66</v>
      </c>
      <c r="N915">
        <v>175</v>
      </c>
      <c r="O915">
        <v>58.333333330000002</v>
      </c>
      <c r="P915">
        <v>54.5</v>
      </c>
      <c r="Q915">
        <v>1</v>
      </c>
      <c r="R915">
        <v>7.64</v>
      </c>
      <c r="S915" t="s">
        <v>25</v>
      </c>
      <c r="T915" t="s">
        <v>26</v>
      </c>
      <c r="U915">
        <v>17</v>
      </c>
    </row>
    <row r="916" spans="1:21" x14ac:dyDescent="0.25">
      <c r="A916" t="s">
        <v>20</v>
      </c>
      <c r="B916" t="s">
        <v>21</v>
      </c>
      <c r="C916" t="s">
        <v>36</v>
      </c>
      <c r="D916" t="s">
        <v>37</v>
      </c>
      <c r="E916" t="s">
        <v>24</v>
      </c>
      <c r="F916">
        <v>46</v>
      </c>
      <c r="G916">
        <v>61</v>
      </c>
      <c r="H916">
        <v>55</v>
      </c>
      <c r="J916">
        <v>46</v>
      </c>
      <c r="K916">
        <v>6.7823299830000003</v>
      </c>
      <c r="L916">
        <v>46</v>
      </c>
      <c r="M916">
        <v>61</v>
      </c>
      <c r="N916">
        <v>162</v>
      </c>
      <c r="O916">
        <v>54</v>
      </c>
      <c r="P916">
        <v>50.5</v>
      </c>
      <c r="Q916">
        <v>2</v>
      </c>
      <c r="R916">
        <v>7.35</v>
      </c>
      <c r="S916" t="s">
        <v>38</v>
      </c>
      <c r="T916" t="s">
        <v>26</v>
      </c>
      <c r="U916">
        <v>18</v>
      </c>
    </row>
    <row r="917" spans="1:21" x14ac:dyDescent="0.25">
      <c r="A917" t="s">
        <v>20</v>
      </c>
      <c r="B917" t="s">
        <v>64</v>
      </c>
      <c r="C917" t="s">
        <v>28</v>
      </c>
      <c r="D917" t="s">
        <v>23</v>
      </c>
      <c r="E917" t="s">
        <v>24</v>
      </c>
      <c r="F917">
        <v>68</v>
      </c>
      <c r="G917">
        <v>70</v>
      </c>
      <c r="H917">
        <v>66</v>
      </c>
      <c r="J917">
        <v>68</v>
      </c>
      <c r="K917">
        <v>8.2462112510000001</v>
      </c>
      <c r="L917">
        <v>66</v>
      </c>
      <c r="M917">
        <v>70</v>
      </c>
      <c r="N917">
        <v>204</v>
      </c>
      <c r="O917">
        <v>68</v>
      </c>
      <c r="P917">
        <v>68</v>
      </c>
      <c r="Q917">
        <v>4</v>
      </c>
      <c r="R917">
        <v>8.25</v>
      </c>
      <c r="S917" t="s">
        <v>30</v>
      </c>
      <c r="T917" t="s">
        <v>31</v>
      </c>
      <c r="U917">
        <v>12</v>
      </c>
    </row>
    <row r="918" spans="1:21" x14ac:dyDescent="0.25">
      <c r="A918" t="s">
        <v>34</v>
      </c>
      <c r="B918" t="s">
        <v>64</v>
      </c>
      <c r="C918" t="s">
        <v>22</v>
      </c>
      <c r="D918" t="s">
        <v>23</v>
      </c>
      <c r="E918" t="s">
        <v>29</v>
      </c>
      <c r="F918">
        <v>100</v>
      </c>
      <c r="G918">
        <v>100</v>
      </c>
      <c r="H918">
        <v>100</v>
      </c>
      <c r="J918">
        <v>100</v>
      </c>
      <c r="K918">
        <v>10</v>
      </c>
      <c r="L918">
        <v>100</v>
      </c>
      <c r="M918">
        <v>100</v>
      </c>
      <c r="N918">
        <v>300</v>
      </c>
      <c r="O918">
        <v>100</v>
      </c>
      <c r="P918">
        <v>100</v>
      </c>
      <c r="Q918">
        <v>1</v>
      </c>
      <c r="R918">
        <v>10</v>
      </c>
      <c r="S918" t="s">
        <v>25</v>
      </c>
      <c r="T918" t="s">
        <v>26</v>
      </c>
      <c r="U918">
        <v>17</v>
      </c>
    </row>
    <row r="919" spans="1:21" x14ac:dyDescent="0.25">
      <c r="A919" t="s">
        <v>20</v>
      </c>
      <c r="B919" t="s">
        <v>27</v>
      </c>
      <c r="C919" t="s">
        <v>40</v>
      </c>
      <c r="D919" t="s">
        <v>23</v>
      </c>
      <c r="E919" t="s">
        <v>24</v>
      </c>
      <c r="F919">
        <v>44</v>
      </c>
      <c r="G919">
        <v>61</v>
      </c>
      <c r="H919">
        <v>52</v>
      </c>
      <c r="J919">
        <v>44</v>
      </c>
      <c r="K919">
        <v>6.6332495810000003</v>
      </c>
      <c r="L919">
        <v>44</v>
      </c>
      <c r="M919">
        <v>61</v>
      </c>
      <c r="N919">
        <v>157</v>
      </c>
      <c r="O919">
        <v>52.333333330000002</v>
      </c>
      <c r="P919">
        <v>48</v>
      </c>
      <c r="Q919">
        <v>2</v>
      </c>
      <c r="R919">
        <v>7.23</v>
      </c>
      <c r="S919" t="s">
        <v>41</v>
      </c>
      <c r="T919" t="s">
        <v>42</v>
      </c>
      <c r="U919">
        <v>11</v>
      </c>
    </row>
    <row r="920" spans="1:21" x14ac:dyDescent="0.25">
      <c r="A920" t="s">
        <v>20</v>
      </c>
      <c r="B920" t="s">
        <v>27</v>
      </c>
      <c r="C920" t="s">
        <v>36</v>
      </c>
      <c r="D920" t="s">
        <v>23</v>
      </c>
      <c r="E920" t="s">
        <v>29</v>
      </c>
      <c r="F920">
        <v>57</v>
      </c>
      <c r="G920">
        <v>77</v>
      </c>
      <c r="H920">
        <v>80</v>
      </c>
      <c r="J920">
        <v>57</v>
      </c>
      <c r="K920">
        <v>7.5498344350000002</v>
      </c>
      <c r="L920">
        <v>57</v>
      </c>
      <c r="M920">
        <v>80</v>
      </c>
      <c r="N920">
        <v>214</v>
      </c>
      <c r="O920">
        <v>71.333333330000002</v>
      </c>
      <c r="P920">
        <v>67</v>
      </c>
      <c r="Q920">
        <v>1</v>
      </c>
      <c r="R920">
        <v>8.4499999999999993</v>
      </c>
      <c r="S920" t="s">
        <v>38</v>
      </c>
      <c r="T920" t="s">
        <v>26</v>
      </c>
      <c r="U920">
        <v>18</v>
      </c>
    </row>
    <row r="921" spans="1:21" x14ac:dyDescent="0.25">
      <c r="A921" t="s">
        <v>34</v>
      </c>
      <c r="B921" t="s">
        <v>21</v>
      </c>
      <c r="C921" t="s">
        <v>28</v>
      </c>
      <c r="D921" t="s">
        <v>23</v>
      </c>
      <c r="E921" t="s">
        <v>29</v>
      </c>
      <c r="F921">
        <v>91</v>
      </c>
      <c r="G921">
        <v>96</v>
      </c>
      <c r="H921">
        <v>91</v>
      </c>
      <c r="J921">
        <v>91</v>
      </c>
      <c r="K921">
        <v>9.5393920140000006</v>
      </c>
      <c r="L921">
        <v>91</v>
      </c>
      <c r="M921">
        <v>96</v>
      </c>
      <c r="N921">
        <v>278</v>
      </c>
      <c r="O921">
        <v>92.666666669999998</v>
      </c>
      <c r="P921">
        <v>91</v>
      </c>
      <c r="Q921">
        <v>2</v>
      </c>
      <c r="R921">
        <v>9.6300000000000008</v>
      </c>
      <c r="S921" t="s">
        <v>30</v>
      </c>
      <c r="T921" t="s">
        <v>31</v>
      </c>
      <c r="U921">
        <v>12</v>
      </c>
    </row>
    <row r="922" spans="1:21" x14ac:dyDescent="0.25">
      <c r="A922" t="s">
        <v>34</v>
      </c>
      <c r="B922" t="s">
        <v>39</v>
      </c>
      <c r="C922" t="s">
        <v>40</v>
      </c>
      <c r="D922" t="s">
        <v>37</v>
      </c>
      <c r="E922" t="s">
        <v>24</v>
      </c>
      <c r="F922">
        <v>69</v>
      </c>
      <c r="G922">
        <v>70</v>
      </c>
      <c r="H922">
        <v>67</v>
      </c>
      <c r="J922">
        <v>69</v>
      </c>
      <c r="K922">
        <v>8.3066238630000004</v>
      </c>
      <c r="L922">
        <v>67</v>
      </c>
      <c r="M922">
        <v>70</v>
      </c>
      <c r="N922">
        <v>206</v>
      </c>
      <c r="O922">
        <v>68.666666669999998</v>
      </c>
      <c r="P922">
        <v>69</v>
      </c>
      <c r="Q922">
        <v>4</v>
      </c>
      <c r="R922">
        <v>8.2899999999999991</v>
      </c>
      <c r="S922" t="s">
        <v>41</v>
      </c>
      <c r="T922" t="s">
        <v>42</v>
      </c>
      <c r="U922">
        <v>11</v>
      </c>
    </row>
    <row r="923" spans="1:21" x14ac:dyDescent="0.25">
      <c r="A923" t="s">
        <v>20</v>
      </c>
      <c r="B923" t="s">
        <v>27</v>
      </c>
      <c r="C923" t="s">
        <v>40</v>
      </c>
      <c r="D923" t="s">
        <v>37</v>
      </c>
      <c r="E923" t="s">
        <v>24</v>
      </c>
      <c r="F923">
        <v>35</v>
      </c>
      <c r="G923">
        <v>53</v>
      </c>
      <c r="H923">
        <v>46</v>
      </c>
      <c r="J923">
        <v>35</v>
      </c>
      <c r="K923">
        <v>5.9160797829999998</v>
      </c>
      <c r="L923">
        <v>35</v>
      </c>
      <c r="M923">
        <v>53</v>
      </c>
      <c r="N923">
        <v>134</v>
      </c>
      <c r="O923">
        <v>44.666666669999998</v>
      </c>
      <c r="P923">
        <v>40.5</v>
      </c>
      <c r="Q923">
        <v>2</v>
      </c>
      <c r="R923">
        <v>6.68</v>
      </c>
      <c r="S923" t="s">
        <v>41</v>
      </c>
      <c r="T923" t="s">
        <v>42</v>
      </c>
      <c r="U923">
        <v>11</v>
      </c>
    </row>
    <row r="924" spans="1:21" x14ac:dyDescent="0.25">
      <c r="A924" t="s">
        <v>34</v>
      </c>
      <c r="B924" t="s">
        <v>39</v>
      </c>
      <c r="C924" t="s">
        <v>40</v>
      </c>
      <c r="D924" t="s">
        <v>23</v>
      </c>
      <c r="E924" t="s">
        <v>24</v>
      </c>
      <c r="F924">
        <v>72</v>
      </c>
      <c r="G924">
        <v>66</v>
      </c>
      <c r="H924">
        <v>66</v>
      </c>
      <c r="J924">
        <v>72</v>
      </c>
      <c r="K924">
        <v>8.4852813739999995</v>
      </c>
      <c r="L924">
        <v>66</v>
      </c>
      <c r="M924">
        <v>72</v>
      </c>
      <c r="N924">
        <v>204</v>
      </c>
      <c r="O924">
        <v>68</v>
      </c>
      <c r="P924">
        <v>69</v>
      </c>
      <c r="Q924">
        <v>3</v>
      </c>
      <c r="R924">
        <v>8.25</v>
      </c>
      <c r="S924" t="s">
        <v>41</v>
      </c>
      <c r="T924" t="s">
        <v>42</v>
      </c>
      <c r="U924">
        <v>11</v>
      </c>
    </row>
    <row r="925" spans="1:21" x14ac:dyDescent="0.25">
      <c r="A925" t="s">
        <v>20</v>
      </c>
      <c r="B925" t="s">
        <v>21</v>
      </c>
      <c r="C925" t="s">
        <v>36</v>
      </c>
      <c r="D925" t="s">
        <v>37</v>
      </c>
      <c r="E925" t="s">
        <v>24</v>
      </c>
      <c r="F925">
        <v>54</v>
      </c>
      <c r="G925">
        <v>65</v>
      </c>
      <c r="H925">
        <v>65</v>
      </c>
      <c r="J925">
        <v>54</v>
      </c>
      <c r="K925">
        <v>7.3484692279999999</v>
      </c>
      <c r="L925">
        <v>54</v>
      </c>
      <c r="M925">
        <v>65</v>
      </c>
      <c r="N925">
        <v>184</v>
      </c>
      <c r="O925">
        <v>61.333333330000002</v>
      </c>
      <c r="P925">
        <v>59.5</v>
      </c>
      <c r="Q925">
        <v>1</v>
      </c>
      <c r="R925">
        <v>7.83</v>
      </c>
      <c r="S925" t="s">
        <v>38</v>
      </c>
      <c r="T925" t="s">
        <v>26</v>
      </c>
      <c r="U925">
        <v>18</v>
      </c>
    </row>
    <row r="926" spans="1:21" x14ac:dyDescent="0.25">
      <c r="A926" t="s">
        <v>34</v>
      </c>
      <c r="B926" t="s">
        <v>39</v>
      </c>
      <c r="C926" t="s">
        <v>40</v>
      </c>
      <c r="D926" t="s">
        <v>37</v>
      </c>
      <c r="E926" t="s">
        <v>24</v>
      </c>
      <c r="F926">
        <v>74</v>
      </c>
      <c r="G926">
        <v>70</v>
      </c>
      <c r="H926">
        <v>69</v>
      </c>
      <c r="J926">
        <v>74</v>
      </c>
      <c r="K926">
        <v>8.6023252669999994</v>
      </c>
      <c r="L926">
        <v>69</v>
      </c>
      <c r="M926">
        <v>74</v>
      </c>
      <c r="N926">
        <v>213</v>
      </c>
      <c r="O926">
        <v>71</v>
      </c>
      <c r="P926">
        <v>72</v>
      </c>
      <c r="Q926">
        <v>4</v>
      </c>
      <c r="R926">
        <v>8.43</v>
      </c>
      <c r="S926" t="s">
        <v>41</v>
      </c>
      <c r="T926" t="s">
        <v>42</v>
      </c>
      <c r="U926">
        <v>11</v>
      </c>
    </row>
    <row r="927" spans="1:21" x14ac:dyDescent="0.25">
      <c r="A927" t="s">
        <v>34</v>
      </c>
      <c r="B927" t="s">
        <v>64</v>
      </c>
      <c r="C927" t="s">
        <v>50</v>
      </c>
      <c r="D927" t="s">
        <v>23</v>
      </c>
      <c r="E927" t="s">
        <v>29</v>
      </c>
      <c r="F927">
        <v>74</v>
      </c>
      <c r="G927">
        <v>64</v>
      </c>
      <c r="H927">
        <v>60</v>
      </c>
      <c r="J927">
        <v>74</v>
      </c>
      <c r="K927">
        <v>8.6023252669999994</v>
      </c>
      <c r="L927">
        <v>60</v>
      </c>
      <c r="M927">
        <v>74</v>
      </c>
      <c r="N927">
        <v>198</v>
      </c>
      <c r="O927">
        <v>66</v>
      </c>
      <c r="P927">
        <v>69</v>
      </c>
      <c r="Q927">
        <v>4</v>
      </c>
      <c r="R927">
        <v>8.1199999999999992</v>
      </c>
      <c r="S927" t="s">
        <v>30</v>
      </c>
      <c r="T927" t="s">
        <v>42</v>
      </c>
      <c r="U927">
        <v>16</v>
      </c>
    </row>
    <row r="928" spans="1:21" x14ac:dyDescent="0.25">
      <c r="A928" t="s">
        <v>34</v>
      </c>
      <c r="B928" t="s">
        <v>64</v>
      </c>
      <c r="C928" t="s">
        <v>36</v>
      </c>
      <c r="D928" t="s">
        <v>37</v>
      </c>
      <c r="E928" t="s">
        <v>24</v>
      </c>
      <c r="F928">
        <v>64</v>
      </c>
      <c r="G928">
        <v>56</v>
      </c>
      <c r="H928">
        <v>52</v>
      </c>
      <c r="J928">
        <v>64</v>
      </c>
      <c r="K928">
        <v>8</v>
      </c>
      <c r="L928">
        <v>52</v>
      </c>
      <c r="M928">
        <v>64</v>
      </c>
      <c r="N928">
        <v>172</v>
      </c>
      <c r="O928">
        <v>57.333333330000002</v>
      </c>
      <c r="P928">
        <v>60</v>
      </c>
      <c r="Q928">
        <v>4</v>
      </c>
      <c r="R928">
        <v>7.57</v>
      </c>
      <c r="S928" t="s">
        <v>38</v>
      </c>
      <c r="T928" t="s">
        <v>26</v>
      </c>
      <c r="U928">
        <v>18</v>
      </c>
    </row>
    <row r="929" spans="1:21" x14ac:dyDescent="0.25">
      <c r="A929" t="s">
        <v>20</v>
      </c>
      <c r="B929" t="s">
        <v>39</v>
      </c>
      <c r="C929" t="s">
        <v>40</v>
      </c>
      <c r="D929" t="s">
        <v>37</v>
      </c>
      <c r="E929" t="s">
        <v>29</v>
      </c>
      <c r="F929">
        <v>65</v>
      </c>
      <c r="G929">
        <v>61</v>
      </c>
      <c r="H929">
        <v>71</v>
      </c>
      <c r="J929">
        <v>65</v>
      </c>
      <c r="K929">
        <v>8.0622577480000004</v>
      </c>
      <c r="L929">
        <v>61</v>
      </c>
      <c r="M929">
        <v>71</v>
      </c>
      <c r="N929">
        <v>197</v>
      </c>
      <c r="O929">
        <v>65.666666669999998</v>
      </c>
      <c r="P929">
        <v>65</v>
      </c>
      <c r="Q929">
        <v>1</v>
      </c>
      <c r="R929">
        <v>8.1</v>
      </c>
      <c r="S929" t="s">
        <v>41</v>
      </c>
      <c r="T929" t="s">
        <v>42</v>
      </c>
      <c r="U929">
        <v>11</v>
      </c>
    </row>
    <row r="930" spans="1:21" x14ac:dyDescent="0.25">
      <c r="A930" t="s">
        <v>34</v>
      </c>
      <c r="B930" t="s">
        <v>64</v>
      </c>
      <c r="C930" t="s">
        <v>36</v>
      </c>
      <c r="D930" t="s">
        <v>37</v>
      </c>
      <c r="E930" t="s">
        <v>29</v>
      </c>
      <c r="F930">
        <v>46</v>
      </c>
      <c r="G930">
        <v>43</v>
      </c>
      <c r="H930">
        <v>44</v>
      </c>
      <c r="J930">
        <v>46</v>
      </c>
      <c r="K930">
        <v>6.7823299830000003</v>
      </c>
      <c r="L930">
        <v>43</v>
      </c>
      <c r="M930">
        <v>46</v>
      </c>
      <c r="N930">
        <v>133</v>
      </c>
      <c r="O930">
        <v>44.333333330000002</v>
      </c>
      <c r="P930">
        <v>45</v>
      </c>
      <c r="Q930">
        <v>3</v>
      </c>
      <c r="R930">
        <v>6.66</v>
      </c>
      <c r="S930" t="s">
        <v>38</v>
      </c>
      <c r="T930" t="s">
        <v>26</v>
      </c>
      <c r="U930">
        <v>18</v>
      </c>
    </row>
    <row r="931" spans="1:21" x14ac:dyDescent="0.25">
      <c r="A931" t="s">
        <v>20</v>
      </c>
      <c r="B931" t="s">
        <v>27</v>
      </c>
      <c r="C931" t="s">
        <v>50</v>
      </c>
      <c r="D931" t="s">
        <v>37</v>
      </c>
      <c r="E931" t="s">
        <v>24</v>
      </c>
      <c r="F931">
        <v>48</v>
      </c>
      <c r="G931">
        <v>56</v>
      </c>
      <c r="H931">
        <v>51</v>
      </c>
      <c r="J931">
        <v>48</v>
      </c>
      <c r="K931">
        <v>6.9282032300000003</v>
      </c>
      <c r="L931">
        <v>48</v>
      </c>
      <c r="M931">
        <v>56</v>
      </c>
      <c r="N931">
        <v>155</v>
      </c>
      <c r="O931">
        <v>51.666666669999998</v>
      </c>
      <c r="P931">
        <v>49.5</v>
      </c>
      <c r="Q931">
        <v>2</v>
      </c>
      <c r="R931">
        <v>7.19</v>
      </c>
      <c r="S931" t="s">
        <v>30</v>
      </c>
      <c r="T931" t="s">
        <v>42</v>
      </c>
      <c r="U931">
        <v>16</v>
      </c>
    </row>
    <row r="932" spans="1:21" x14ac:dyDescent="0.25">
      <c r="A932" t="s">
        <v>34</v>
      </c>
      <c r="B932" t="s">
        <v>27</v>
      </c>
      <c r="C932" t="s">
        <v>28</v>
      </c>
      <c r="D932" t="s">
        <v>37</v>
      </c>
      <c r="E932" t="s">
        <v>29</v>
      </c>
      <c r="F932">
        <v>67</v>
      </c>
      <c r="G932">
        <v>74</v>
      </c>
      <c r="H932">
        <v>70</v>
      </c>
      <c r="J932">
        <v>67</v>
      </c>
      <c r="K932">
        <v>8.1853527719999999</v>
      </c>
      <c r="L932">
        <v>67</v>
      </c>
      <c r="M932">
        <v>74</v>
      </c>
      <c r="N932">
        <v>211</v>
      </c>
      <c r="O932">
        <v>70.333333330000002</v>
      </c>
      <c r="P932">
        <v>68.5</v>
      </c>
      <c r="Q932">
        <v>2</v>
      </c>
      <c r="R932">
        <v>8.39</v>
      </c>
      <c r="S932" t="s">
        <v>30</v>
      </c>
      <c r="T932" t="s">
        <v>31</v>
      </c>
      <c r="U932">
        <v>12</v>
      </c>
    </row>
    <row r="933" spans="1:21" x14ac:dyDescent="0.25">
      <c r="A933" t="s">
        <v>34</v>
      </c>
      <c r="B933" t="s">
        <v>39</v>
      </c>
      <c r="C933" t="s">
        <v>28</v>
      </c>
      <c r="D933" t="s">
        <v>37</v>
      </c>
      <c r="E933" t="s">
        <v>24</v>
      </c>
      <c r="F933">
        <v>62</v>
      </c>
      <c r="G933">
        <v>57</v>
      </c>
      <c r="H933">
        <v>62</v>
      </c>
      <c r="J933">
        <v>62</v>
      </c>
      <c r="K933">
        <v>7.8740078740000001</v>
      </c>
      <c r="L933">
        <v>57</v>
      </c>
      <c r="M933">
        <v>62</v>
      </c>
      <c r="N933">
        <v>181</v>
      </c>
      <c r="O933">
        <v>60.333333330000002</v>
      </c>
      <c r="P933">
        <v>62</v>
      </c>
      <c r="Q933">
        <v>1</v>
      </c>
      <c r="R933">
        <v>7.77</v>
      </c>
      <c r="S933" t="s">
        <v>30</v>
      </c>
      <c r="T933" t="s">
        <v>31</v>
      </c>
      <c r="U933">
        <v>12</v>
      </c>
    </row>
    <row r="934" spans="1:21" x14ac:dyDescent="0.25">
      <c r="A934" t="s">
        <v>34</v>
      </c>
      <c r="B934" t="s">
        <v>39</v>
      </c>
      <c r="C934" t="s">
        <v>36</v>
      </c>
      <c r="D934" t="s">
        <v>37</v>
      </c>
      <c r="E934" t="s">
        <v>29</v>
      </c>
      <c r="F934">
        <v>61</v>
      </c>
      <c r="G934">
        <v>71</v>
      </c>
      <c r="H934">
        <v>73</v>
      </c>
      <c r="J934">
        <v>61</v>
      </c>
      <c r="K934">
        <v>7.8102496759999998</v>
      </c>
      <c r="L934">
        <v>61</v>
      </c>
      <c r="M934">
        <v>73</v>
      </c>
      <c r="N934">
        <v>205</v>
      </c>
      <c r="O934">
        <v>68.333333330000002</v>
      </c>
      <c r="P934">
        <v>66</v>
      </c>
      <c r="Q934">
        <v>1</v>
      </c>
      <c r="R934">
        <v>8.27</v>
      </c>
      <c r="S934" t="s">
        <v>38</v>
      </c>
      <c r="T934" t="s">
        <v>26</v>
      </c>
      <c r="U934">
        <v>18</v>
      </c>
    </row>
    <row r="935" spans="1:21" x14ac:dyDescent="0.25">
      <c r="A935" t="s">
        <v>34</v>
      </c>
      <c r="B935" t="s">
        <v>27</v>
      </c>
      <c r="C935" t="s">
        <v>22</v>
      </c>
      <c r="D935" t="s">
        <v>37</v>
      </c>
      <c r="E935" t="s">
        <v>29</v>
      </c>
      <c r="F935">
        <v>70</v>
      </c>
      <c r="G935">
        <v>75</v>
      </c>
      <c r="H935">
        <v>74</v>
      </c>
      <c r="J935">
        <v>70</v>
      </c>
      <c r="K935">
        <v>8.3666002650000006</v>
      </c>
      <c r="L935">
        <v>70</v>
      </c>
      <c r="M935">
        <v>75</v>
      </c>
      <c r="N935">
        <v>219</v>
      </c>
      <c r="O935">
        <v>73</v>
      </c>
      <c r="P935">
        <v>72</v>
      </c>
      <c r="Q935">
        <v>2</v>
      </c>
      <c r="R935">
        <v>8.5399999999999991</v>
      </c>
      <c r="S935" t="s">
        <v>25</v>
      </c>
      <c r="T935" t="s">
        <v>26</v>
      </c>
      <c r="U935">
        <v>17</v>
      </c>
    </row>
    <row r="936" spans="1:21" x14ac:dyDescent="0.25">
      <c r="A936" t="s">
        <v>34</v>
      </c>
      <c r="B936" t="s">
        <v>27</v>
      </c>
      <c r="C936" t="s">
        <v>36</v>
      </c>
      <c r="D936" t="s">
        <v>23</v>
      </c>
      <c r="E936" t="s">
        <v>29</v>
      </c>
      <c r="F936">
        <v>98</v>
      </c>
      <c r="G936">
        <v>87</v>
      </c>
      <c r="H936">
        <v>90</v>
      </c>
      <c r="J936">
        <v>98</v>
      </c>
      <c r="K936">
        <v>9.899494937</v>
      </c>
      <c r="L936">
        <v>87</v>
      </c>
      <c r="M936">
        <v>98</v>
      </c>
      <c r="N936">
        <v>275</v>
      </c>
      <c r="O936">
        <v>91.666666669999998</v>
      </c>
      <c r="P936">
        <v>94</v>
      </c>
      <c r="Q936">
        <v>3</v>
      </c>
      <c r="R936">
        <v>9.57</v>
      </c>
      <c r="S936" t="s">
        <v>38</v>
      </c>
      <c r="T936" t="s">
        <v>26</v>
      </c>
      <c r="U936">
        <v>18</v>
      </c>
    </row>
    <row r="937" spans="1:21" x14ac:dyDescent="0.25">
      <c r="A937" t="s">
        <v>34</v>
      </c>
      <c r="B937" t="s">
        <v>39</v>
      </c>
      <c r="C937" t="s">
        <v>28</v>
      </c>
      <c r="D937" t="s">
        <v>37</v>
      </c>
      <c r="E937" t="s">
        <v>24</v>
      </c>
      <c r="F937">
        <v>70</v>
      </c>
      <c r="G937">
        <v>63</v>
      </c>
      <c r="H937">
        <v>58</v>
      </c>
      <c r="J937">
        <v>70</v>
      </c>
      <c r="K937">
        <v>8.3666002650000006</v>
      </c>
      <c r="L937">
        <v>58</v>
      </c>
      <c r="M937">
        <v>70</v>
      </c>
      <c r="N937">
        <v>191</v>
      </c>
      <c r="O937">
        <v>63.666666669999998</v>
      </c>
      <c r="P937">
        <v>66.5</v>
      </c>
      <c r="Q937">
        <v>4</v>
      </c>
      <c r="R937">
        <v>7.98</v>
      </c>
      <c r="S937" t="s">
        <v>30</v>
      </c>
      <c r="T937" t="s">
        <v>31</v>
      </c>
      <c r="U937">
        <v>12</v>
      </c>
    </row>
    <row r="938" spans="1:21" x14ac:dyDescent="0.25">
      <c r="A938" t="s">
        <v>34</v>
      </c>
      <c r="B938" t="s">
        <v>35</v>
      </c>
      <c r="C938" t="s">
        <v>36</v>
      </c>
      <c r="D938" t="s">
        <v>23</v>
      </c>
      <c r="E938" t="s">
        <v>24</v>
      </c>
      <c r="F938">
        <v>67</v>
      </c>
      <c r="G938">
        <v>57</v>
      </c>
      <c r="H938">
        <v>53</v>
      </c>
      <c r="J938">
        <v>67</v>
      </c>
      <c r="K938">
        <v>8.1853527719999999</v>
      </c>
      <c r="L938">
        <v>53</v>
      </c>
      <c r="M938">
        <v>67</v>
      </c>
      <c r="N938">
        <v>177</v>
      </c>
      <c r="O938">
        <v>59</v>
      </c>
      <c r="P938">
        <v>62</v>
      </c>
      <c r="Q938">
        <v>4</v>
      </c>
      <c r="R938">
        <v>7.68</v>
      </c>
      <c r="S938" t="s">
        <v>38</v>
      </c>
      <c r="T938" t="s">
        <v>26</v>
      </c>
      <c r="U938">
        <v>18</v>
      </c>
    </row>
    <row r="939" spans="1:21" x14ac:dyDescent="0.25">
      <c r="A939" t="s">
        <v>20</v>
      </c>
      <c r="B939" t="s">
        <v>64</v>
      </c>
      <c r="C939" t="s">
        <v>40</v>
      </c>
      <c r="D939" t="s">
        <v>37</v>
      </c>
      <c r="E939" t="s">
        <v>24</v>
      </c>
      <c r="F939">
        <v>57</v>
      </c>
      <c r="G939">
        <v>58</v>
      </c>
      <c r="H939">
        <v>57</v>
      </c>
      <c r="J939">
        <v>57</v>
      </c>
      <c r="K939">
        <v>7.5498344350000002</v>
      </c>
      <c r="L939">
        <v>57</v>
      </c>
      <c r="M939">
        <v>58</v>
      </c>
      <c r="N939">
        <v>172</v>
      </c>
      <c r="O939">
        <v>57.333333330000002</v>
      </c>
      <c r="P939">
        <v>57</v>
      </c>
      <c r="Q939">
        <v>2</v>
      </c>
      <c r="R939">
        <v>7.57</v>
      </c>
      <c r="S939" t="s">
        <v>41</v>
      </c>
      <c r="T939" t="s">
        <v>42</v>
      </c>
      <c r="U939">
        <v>11</v>
      </c>
    </row>
    <row r="940" spans="1:21" x14ac:dyDescent="0.25">
      <c r="A940" t="s">
        <v>34</v>
      </c>
      <c r="B940" t="s">
        <v>39</v>
      </c>
      <c r="C940" t="s">
        <v>28</v>
      </c>
      <c r="D940" t="s">
        <v>23</v>
      </c>
      <c r="E940" t="s">
        <v>29</v>
      </c>
      <c r="F940">
        <v>85</v>
      </c>
      <c r="G940">
        <v>81</v>
      </c>
      <c r="H940">
        <v>85</v>
      </c>
      <c r="J940">
        <v>85</v>
      </c>
      <c r="K940">
        <v>9.2195444569999996</v>
      </c>
      <c r="L940">
        <v>81</v>
      </c>
      <c r="M940">
        <v>85</v>
      </c>
      <c r="N940">
        <v>251</v>
      </c>
      <c r="O940">
        <v>83.666666669999998</v>
      </c>
      <c r="P940">
        <v>85</v>
      </c>
      <c r="Q940">
        <v>1</v>
      </c>
      <c r="R940">
        <v>9.15</v>
      </c>
      <c r="S940" t="s">
        <v>30</v>
      </c>
      <c r="T940" t="s">
        <v>31</v>
      </c>
      <c r="U940">
        <v>12</v>
      </c>
    </row>
    <row r="941" spans="1:21" x14ac:dyDescent="0.25">
      <c r="A941" t="s">
        <v>34</v>
      </c>
      <c r="B941" t="s">
        <v>39</v>
      </c>
      <c r="C941" t="s">
        <v>50</v>
      </c>
      <c r="D941" t="s">
        <v>23</v>
      </c>
      <c r="E941" t="s">
        <v>29</v>
      </c>
      <c r="F941">
        <v>77</v>
      </c>
      <c r="G941">
        <v>68</v>
      </c>
      <c r="H941">
        <v>69</v>
      </c>
      <c r="J941">
        <v>77</v>
      </c>
      <c r="K941">
        <v>8.7749643870000007</v>
      </c>
      <c r="L941">
        <v>68</v>
      </c>
      <c r="M941">
        <v>77</v>
      </c>
      <c r="N941">
        <v>214</v>
      </c>
      <c r="O941">
        <v>71.333333330000002</v>
      </c>
      <c r="P941">
        <v>73</v>
      </c>
      <c r="Q941">
        <v>3</v>
      </c>
      <c r="R941">
        <v>8.4499999999999993</v>
      </c>
      <c r="S941" t="s">
        <v>30</v>
      </c>
      <c r="T941" t="s">
        <v>42</v>
      </c>
      <c r="U941">
        <v>16</v>
      </c>
    </row>
    <row r="942" spans="1:21" x14ac:dyDescent="0.25">
      <c r="A942" t="s">
        <v>34</v>
      </c>
      <c r="B942" t="s">
        <v>27</v>
      </c>
      <c r="C942" t="s">
        <v>32</v>
      </c>
      <c r="D942" t="s">
        <v>37</v>
      </c>
      <c r="E942" t="s">
        <v>29</v>
      </c>
      <c r="F942">
        <v>72</v>
      </c>
      <c r="G942">
        <v>66</v>
      </c>
      <c r="H942">
        <v>72</v>
      </c>
      <c r="J942">
        <v>72</v>
      </c>
      <c r="K942">
        <v>8.4852813739999995</v>
      </c>
      <c r="L942">
        <v>66</v>
      </c>
      <c r="M942">
        <v>72</v>
      </c>
      <c r="N942">
        <v>210</v>
      </c>
      <c r="O942">
        <v>70</v>
      </c>
      <c r="P942">
        <v>72</v>
      </c>
      <c r="Q942">
        <v>1</v>
      </c>
      <c r="R942">
        <v>8.3699999999999992</v>
      </c>
      <c r="S942" t="s">
        <v>33</v>
      </c>
      <c r="T942" t="s">
        <v>26</v>
      </c>
      <c r="U942">
        <v>15</v>
      </c>
    </row>
    <row r="943" spans="1:21" x14ac:dyDescent="0.25">
      <c r="A943" t="s">
        <v>20</v>
      </c>
      <c r="B943" t="s">
        <v>39</v>
      </c>
      <c r="C943" t="s">
        <v>32</v>
      </c>
      <c r="D943" t="s">
        <v>23</v>
      </c>
      <c r="E943" t="s">
        <v>24</v>
      </c>
      <c r="F943">
        <v>78</v>
      </c>
      <c r="G943">
        <v>91</v>
      </c>
      <c r="H943">
        <v>96</v>
      </c>
      <c r="J943">
        <v>78</v>
      </c>
      <c r="K943">
        <v>8.8317608659999998</v>
      </c>
      <c r="L943">
        <v>78</v>
      </c>
      <c r="M943">
        <v>96</v>
      </c>
      <c r="N943">
        <v>265</v>
      </c>
      <c r="O943">
        <v>88.333333330000002</v>
      </c>
      <c r="P943">
        <v>84.5</v>
      </c>
      <c r="Q943">
        <v>1</v>
      </c>
      <c r="R943">
        <v>9.4</v>
      </c>
      <c r="S943" t="s">
        <v>33</v>
      </c>
      <c r="T943" t="s">
        <v>26</v>
      </c>
      <c r="U943">
        <v>15</v>
      </c>
    </row>
    <row r="944" spans="1:21" x14ac:dyDescent="0.25">
      <c r="A944" t="s">
        <v>34</v>
      </c>
      <c r="B944" t="s">
        <v>27</v>
      </c>
      <c r="C944" t="s">
        <v>40</v>
      </c>
      <c r="D944" t="s">
        <v>23</v>
      </c>
      <c r="E944" t="s">
        <v>24</v>
      </c>
      <c r="F944">
        <v>81</v>
      </c>
      <c r="G944">
        <v>66</v>
      </c>
      <c r="H944">
        <v>64</v>
      </c>
      <c r="J944">
        <v>81</v>
      </c>
      <c r="K944">
        <v>9</v>
      </c>
      <c r="L944">
        <v>64</v>
      </c>
      <c r="M944">
        <v>81</v>
      </c>
      <c r="N944">
        <v>211</v>
      </c>
      <c r="O944">
        <v>70.333333330000002</v>
      </c>
      <c r="P944">
        <v>73.5</v>
      </c>
      <c r="Q944">
        <v>4</v>
      </c>
      <c r="R944">
        <v>8.39</v>
      </c>
      <c r="S944" t="s">
        <v>41</v>
      </c>
      <c r="T944" t="s">
        <v>42</v>
      </c>
      <c r="U944">
        <v>11</v>
      </c>
    </row>
    <row r="945" spans="1:21" x14ac:dyDescent="0.25">
      <c r="A945" t="s">
        <v>34</v>
      </c>
      <c r="B945" t="s">
        <v>35</v>
      </c>
      <c r="C945" t="s">
        <v>50</v>
      </c>
      <c r="D945" t="s">
        <v>37</v>
      </c>
      <c r="E945" t="s">
        <v>29</v>
      </c>
      <c r="F945">
        <v>61</v>
      </c>
      <c r="G945">
        <v>62</v>
      </c>
      <c r="H945">
        <v>61</v>
      </c>
      <c r="J945">
        <v>61</v>
      </c>
      <c r="K945">
        <v>7.8102496759999998</v>
      </c>
      <c r="L945">
        <v>61</v>
      </c>
      <c r="M945">
        <v>62</v>
      </c>
      <c r="N945">
        <v>184</v>
      </c>
      <c r="O945">
        <v>61.333333330000002</v>
      </c>
      <c r="P945">
        <v>61</v>
      </c>
      <c r="Q945">
        <v>2</v>
      </c>
      <c r="R945">
        <v>7.83</v>
      </c>
      <c r="S945" t="s">
        <v>30</v>
      </c>
      <c r="T945" t="s">
        <v>42</v>
      </c>
      <c r="U945">
        <v>16</v>
      </c>
    </row>
    <row r="946" spans="1:21" x14ac:dyDescent="0.25">
      <c r="A946" t="s">
        <v>20</v>
      </c>
      <c r="B946" t="s">
        <v>21</v>
      </c>
      <c r="C946" t="s">
        <v>40</v>
      </c>
      <c r="D946" t="s">
        <v>23</v>
      </c>
      <c r="E946" t="s">
        <v>24</v>
      </c>
      <c r="F946">
        <v>58</v>
      </c>
      <c r="G946">
        <v>68</v>
      </c>
      <c r="H946">
        <v>61</v>
      </c>
      <c r="J946">
        <v>58</v>
      </c>
      <c r="K946">
        <v>7.6157731059999998</v>
      </c>
      <c r="L946">
        <v>58</v>
      </c>
      <c r="M946">
        <v>68</v>
      </c>
      <c r="N946">
        <v>187</v>
      </c>
      <c r="O946">
        <v>62.333333330000002</v>
      </c>
      <c r="P946">
        <v>59.5</v>
      </c>
      <c r="Q946">
        <v>2</v>
      </c>
      <c r="R946">
        <v>7.9</v>
      </c>
      <c r="S946" t="s">
        <v>41</v>
      </c>
      <c r="T946" t="s">
        <v>42</v>
      </c>
      <c r="U946">
        <v>11</v>
      </c>
    </row>
    <row r="947" spans="1:21" x14ac:dyDescent="0.25">
      <c r="A947" t="s">
        <v>20</v>
      </c>
      <c r="B947" t="s">
        <v>27</v>
      </c>
      <c r="C947" t="s">
        <v>36</v>
      </c>
      <c r="D947" t="s">
        <v>23</v>
      </c>
      <c r="E947" t="s">
        <v>24</v>
      </c>
      <c r="F947">
        <v>54</v>
      </c>
      <c r="G947">
        <v>61</v>
      </c>
      <c r="H947">
        <v>58</v>
      </c>
      <c r="J947">
        <v>54</v>
      </c>
      <c r="K947">
        <v>7.3484692279999999</v>
      </c>
      <c r="L947">
        <v>54</v>
      </c>
      <c r="M947">
        <v>61</v>
      </c>
      <c r="N947">
        <v>173</v>
      </c>
      <c r="O947">
        <v>57.666666669999998</v>
      </c>
      <c r="P947">
        <v>56</v>
      </c>
      <c r="Q947">
        <v>2</v>
      </c>
      <c r="R947">
        <v>7.59</v>
      </c>
      <c r="S947" t="s">
        <v>38</v>
      </c>
      <c r="T947" t="s">
        <v>26</v>
      </c>
      <c r="U947">
        <v>18</v>
      </c>
    </row>
    <row r="948" spans="1:21" x14ac:dyDescent="0.25">
      <c r="A948" t="s">
        <v>34</v>
      </c>
      <c r="B948" t="s">
        <v>21</v>
      </c>
      <c r="C948" t="s">
        <v>40</v>
      </c>
      <c r="D948" t="s">
        <v>23</v>
      </c>
      <c r="E948" t="s">
        <v>24</v>
      </c>
      <c r="F948">
        <v>82</v>
      </c>
      <c r="G948">
        <v>82</v>
      </c>
      <c r="H948">
        <v>80</v>
      </c>
      <c r="J948">
        <v>82</v>
      </c>
      <c r="K948">
        <v>9.0553851380000001</v>
      </c>
      <c r="L948">
        <v>80</v>
      </c>
      <c r="M948">
        <v>82</v>
      </c>
      <c r="N948">
        <v>244</v>
      </c>
      <c r="O948">
        <v>81.333333330000002</v>
      </c>
      <c r="P948">
        <v>82</v>
      </c>
      <c r="Q948">
        <v>4</v>
      </c>
      <c r="R948">
        <v>9.02</v>
      </c>
      <c r="S948" t="s">
        <v>41</v>
      </c>
      <c r="T948" t="s">
        <v>42</v>
      </c>
      <c r="U948">
        <v>11</v>
      </c>
    </row>
    <row r="949" spans="1:21" x14ac:dyDescent="0.25">
      <c r="A949" t="s">
        <v>20</v>
      </c>
      <c r="B949" t="s">
        <v>39</v>
      </c>
      <c r="C949" t="s">
        <v>28</v>
      </c>
      <c r="D949" t="s">
        <v>37</v>
      </c>
      <c r="E949" t="s">
        <v>24</v>
      </c>
      <c r="F949">
        <v>49</v>
      </c>
      <c r="G949">
        <v>58</v>
      </c>
      <c r="H949">
        <v>60</v>
      </c>
      <c r="J949">
        <v>49</v>
      </c>
      <c r="K949">
        <v>7</v>
      </c>
      <c r="L949">
        <v>49</v>
      </c>
      <c r="M949">
        <v>60</v>
      </c>
      <c r="N949">
        <v>167</v>
      </c>
      <c r="O949">
        <v>55.666666669999998</v>
      </c>
      <c r="P949">
        <v>53.5</v>
      </c>
      <c r="Q949">
        <v>1</v>
      </c>
      <c r="R949">
        <v>7.46</v>
      </c>
      <c r="S949" t="s">
        <v>30</v>
      </c>
      <c r="T949" t="s">
        <v>31</v>
      </c>
      <c r="U949">
        <v>12</v>
      </c>
    </row>
    <row r="950" spans="1:21" x14ac:dyDescent="0.25">
      <c r="A950" t="s">
        <v>34</v>
      </c>
      <c r="B950" t="s">
        <v>21</v>
      </c>
      <c r="C950" t="s">
        <v>50</v>
      </c>
      <c r="D950" t="s">
        <v>37</v>
      </c>
      <c r="E950" t="s">
        <v>29</v>
      </c>
      <c r="F950">
        <v>49</v>
      </c>
      <c r="G950">
        <v>50</v>
      </c>
      <c r="H950">
        <v>52</v>
      </c>
      <c r="J950">
        <v>49</v>
      </c>
      <c r="K950">
        <v>7</v>
      </c>
      <c r="L950">
        <v>49</v>
      </c>
      <c r="M950">
        <v>52</v>
      </c>
      <c r="N950">
        <v>151</v>
      </c>
      <c r="O950">
        <v>50.333333330000002</v>
      </c>
      <c r="P950">
        <v>49.5</v>
      </c>
      <c r="Q950">
        <v>1</v>
      </c>
      <c r="R950">
        <v>7.09</v>
      </c>
      <c r="S950" t="s">
        <v>30</v>
      </c>
      <c r="T950" t="s">
        <v>42</v>
      </c>
      <c r="U950">
        <v>16</v>
      </c>
    </row>
    <row r="951" spans="1:21" x14ac:dyDescent="0.25">
      <c r="A951" t="s">
        <v>20</v>
      </c>
      <c r="B951" t="s">
        <v>64</v>
      </c>
      <c r="C951" t="s">
        <v>40</v>
      </c>
      <c r="D951" t="s">
        <v>37</v>
      </c>
      <c r="E951" t="s">
        <v>29</v>
      </c>
      <c r="F951">
        <v>57</v>
      </c>
      <c r="G951">
        <v>75</v>
      </c>
      <c r="H951">
        <v>73</v>
      </c>
      <c r="J951">
        <v>57</v>
      </c>
      <c r="K951">
        <v>7.5498344350000002</v>
      </c>
      <c r="L951">
        <v>57</v>
      </c>
      <c r="M951">
        <v>75</v>
      </c>
      <c r="N951">
        <v>205</v>
      </c>
      <c r="O951">
        <v>68.333333330000002</v>
      </c>
      <c r="P951">
        <v>65</v>
      </c>
      <c r="Q951">
        <v>2</v>
      </c>
      <c r="R951">
        <v>8.27</v>
      </c>
      <c r="S951" t="s">
        <v>41</v>
      </c>
      <c r="T951" t="s">
        <v>42</v>
      </c>
      <c r="U951">
        <v>11</v>
      </c>
    </row>
    <row r="952" spans="1:21" x14ac:dyDescent="0.25">
      <c r="A952" t="s">
        <v>34</v>
      </c>
      <c r="B952" t="s">
        <v>64</v>
      </c>
      <c r="C952" t="s">
        <v>40</v>
      </c>
      <c r="D952" t="s">
        <v>23</v>
      </c>
      <c r="E952" t="s">
        <v>24</v>
      </c>
      <c r="F952">
        <v>94</v>
      </c>
      <c r="G952">
        <v>73</v>
      </c>
      <c r="H952">
        <v>71</v>
      </c>
      <c r="J952">
        <v>94</v>
      </c>
      <c r="K952">
        <v>9.6953597150000004</v>
      </c>
      <c r="L952">
        <v>71</v>
      </c>
      <c r="M952">
        <v>94</v>
      </c>
      <c r="N952">
        <v>238</v>
      </c>
      <c r="O952">
        <v>79.333333330000002</v>
      </c>
      <c r="P952">
        <v>83.5</v>
      </c>
      <c r="Q952">
        <v>4</v>
      </c>
      <c r="R952">
        <v>8.91</v>
      </c>
      <c r="S952" t="s">
        <v>41</v>
      </c>
      <c r="T952" t="s">
        <v>42</v>
      </c>
      <c r="U952">
        <v>11</v>
      </c>
    </row>
    <row r="953" spans="1:21" x14ac:dyDescent="0.25">
      <c r="A953" t="s">
        <v>20</v>
      </c>
      <c r="B953" t="s">
        <v>39</v>
      </c>
      <c r="C953" t="s">
        <v>28</v>
      </c>
      <c r="D953" t="s">
        <v>23</v>
      </c>
      <c r="E953" t="s">
        <v>29</v>
      </c>
      <c r="F953">
        <v>75</v>
      </c>
      <c r="G953">
        <v>77</v>
      </c>
      <c r="H953">
        <v>83</v>
      </c>
      <c r="J953">
        <v>75</v>
      </c>
      <c r="K953">
        <v>8.6602540379999997</v>
      </c>
      <c r="L953">
        <v>75</v>
      </c>
      <c r="M953">
        <v>83</v>
      </c>
      <c r="N953">
        <v>235</v>
      </c>
      <c r="O953">
        <v>78.333333330000002</v>
      </c>
      <c r="P953">
        <v>76</v>
      </c>
      <c r="Q953">
        <v>1</v>
      </c>
      <c r="R953">
        <v>8.85</v>
      </c>
      <c r="S953" t="s">
        <v>30</v>
      </c>
      <c r="T953" t="s">
        <v>31</v>
      </c>
      <c r="U953">
        <v>12</v>
      </c>
    </row>
    <row r="954" spans="1:21" x14ac:dyDescent="0.25">
      <c r="A954" t="s">
        <v>20</v>
      </c>
      <c r="B954" t="s">
        <v>64</v>
      </c>
      <c r="C954" t="s">
        <v>50</v>
      </c>
      <c r="D954" t="s">
        <v>37</v>
      </c>
      <c r="E954" t="s">
        <v>24</v>
      </c>
      <c r="F954">
        <v>74</v>
      </c>
      <c r="G954">
        <v>74</v>
      </c>
      <c r="H954">
        <v>72</v>
      </c>
      <c r="J954">
        <v>74</v>
      </c>
      <c r="K954">
        <v>8.6023252669999994</v>
      </c>
      <c r="L954">
        <v>72</v>
      </c>
      <c r="M954">
        <v>74</v>
      </c>
      <c r="N954">
        <v>220</v>
      </c>
      <c r="O954">
        <v>73.333333330000002</v>
      </c>
      <c r="P954">
        <v>74</v>
      </c>
      <c r="Q954">
        <v>4</v>
      </c>
      <c r="R954">
        <v>8.56</v>
      </c>
      <c r="S954" t="s">
        <v>30</v>
      </c>
      <c r="T954" t="s">
        <v>42</v>
      </c>
      <c r="U954">
        <v>16</v>
      </c>
    </row>
    <row r="955" spans="1:21" x14ac:dyDescent="0.25">
      <c r="A955" t="s">
        <v>34</v>
      </c>
      <c r="B955" t="s">
        <v>27</v>
      </c>
      <c r="C955" t="s">
        <v>40</v>
      </c>
      <c r="D955" t="s">
        <v>23</v>
      </c>
      <c r="E955" t="s">
        <v>29</v>
      </c>
      <c r="F955">
        <v>58</v>
      </c>
      <c r="G955">
        <v>52</v>
      </c>
      <c r="H955">
        <v>54</v>
      </c>
      <c r="J955">
        <v>58</v>
      </c>
      <c r="K955">
        <v>7.6157731059999998</v>
      </c>
      <c r="L955">
        <v>52</v>
      </c>
      <c r="M955">
        <v>58</v>
      </c>
      <c r="N955">
        <v>164</v>
      </c>
      <c r="O955">
        <v>54.666666669999998</v>
      </c>
      <c r="P955">
        <v>56</v>
      </c>
      <c r="Q955">
        <v>3</v>
      </c>
      <c r="R955">
        <v>7.39</v>
      </c>
      <c r="S955" t="s">
        <v>41</v>
      </c>
      <c r="T955" t="s">
        <v>42</v>
      </c>
      <c r="U955">
        <v>11</v>
      </c>
    </row>
    <row r="956" spans="1:21" x14ac:dyDescent="0.25">
      <c r="A956" t="s">
        <v>20</v>
      </c>
      <c r="B956" t="s">
        <v>27</v>
      </c>
      <c r="C956" t="s">
        <v>28</v>
      </c>
      <c r="D956" t="s">
        <v>23</v>
      </c>
      <c r="E956" t="s">
        <v>24</v>
      </c>
      <c r="F956">
        <v>62</v>
      </c>
      <c r="G956">
        <v>69</v>
      </c>
      <c r="H956">
        <v>69</v>
      </c>
      <c r="J956">
        <v>62</v>
      </c>
      <c r="K956">
        <v>7.8740078740000001</v>
      </c>
      <c r="L956">
        <v>62</v>
      </c>
      <c r="M956">
        <v>69</v>
      </c>
      <c r="N956">
        <v>200</v>
      </c>
      <c r="O956">
        <v>66.666666669999998</v>
      </c>
      <c r="P956">
        <v>65.5</v>
      </c>
      <c r="Q956">
        <v>1</v>
      </c>
      <c r="R956">
        <v>8.16</v>
      </c>
      <c r="S956" t="s">
        <v>30</v>
      </c>
      <c r="T956" t="s">
        <v>31</v>
      </c>
      <c r="U956">
        <v>12</v>
      </c>
    </row>
    <row r="957" spans="1:21" x14ac:dyDescent="0.25">
      <c r="A957" t="s">
        <v>34</v>
      </c>
      <c r="B957" t="s">
        <v>64</v>
      </c>
      <c r="C957" t="s">
        <v>36</v>
      </c>
      <c r="D957" t="s">
        <v>23</v>
      </c>
      <c r="E957" t="s">
        <v>24</v>
      </c>
      <c r="F957">
        <v>72</v>
      </c>
      <c r="G957">
        <v>57</v>
      </c>
      <c r="H957">
        <v>62</v>
      </c>
      <c r="J957">
        <v>72</v>
      </c>
      <c r="K957">
        <v>8.4852813739999995</v>
      </c>
      <c r="L957">
        <v>57</v>
      </c>
      <c r="M957">
        <v>72</v>
      </c>
      <c r="N957">
        <v>191</v>
      </c>
      <c r="O957">
        <v>63.666666669999998</v>
      </c>
      <c r="P957">
        <v>67</v>
      </c>
      <c r="Q957">
        <v>3</v>
      </c>
      <c r="R957">
        <v>7.98</v>
      </c>
      <c r="S957" t="s">
        <v>38</v>
      </c>
      <c r="T957" t="s">
        <v>26</v>
      </c>
      <c r="U957">
        <v>18</v>
      </c>
    </row>
    <row r="958" spans="1:21" x14ac:dyDescent="0.25">
      <c r="A958" t="s">
        <v>34</v>
      </c>
      <c r="B958" t="s">
        <v>27</v>
      </c>
      <c r="C958" t="s">
        <v>28</v>
      </c>
      <c r="D958" t="s">
        <v>23</v>
      </c>
      <c r="E958" t="s">
        <v>24</v>
      </c>
      <c r="F958">
        <v>84</v>
      </c>
      <c r="G958">
        <v>87</v>
      </c>
      <c r="H958">
        <v>81</v>
      </c>
      <c r="J958">
        <v>84</v>
      </c>
      <c r="K958">
        <v>9.1651513900000001</v>
      </c>
      <c r="L958">
        <v>81</v>
      </c>
      <c r="M958">
        <v>87</v>
      </c>
      <c r="N958">
        <v>252</v>
      </c>
      <c r="O958">
        <v>84</v>
      </c>
      <c r="P958">
        <v>84</v>
      </c>
      <c r="Q958">
        <v>4</v>
      </c>
      <c r="R958">
        <v>9.17</v>
      </c>
      <c r="S958" t="s">
        <v>30</v>
      </c>
      <c r="T958" t="s">
        <v>31</v>
      </c>
      <c r="U958">
        <v>12</v>
      </c>
    </row>
    <row r="959" spans="1:21" x14ac:dyDescent="0.25">
      <c r="A959" t="s">
        <v>20</v>
      </c>
      <c r="B959" t="s">
        <v>39</v>
      </c>
      <c r="C959" t="s">
        <v>32</v>
      </c>
      <c r="D959" t="s">
        <v>23</v>
      </c>
      <c r="E959" t="s">
        <v>24</v>
      </c>
      <c r="F959">
        <v>92</v>
      </c>
      <c r="G959">
        <v>100</v>
      </c>
      <c r="H959">
        <v>100</v>
      </c>
      <c r="J959">
        <v>92</v>
      </c>
      <c r="K959">
        <v>9.5916630470000008</v>
      </c>
      <c r="L959">
        <v>92</v>
      </c>
      <c r="M959">
        <v>100</v>
      </c>
      <c r="N959">
        <v>292</v>
      </c>
      <c r="O959">
        <v>97.333333330000002</v>
      </c>
      <c r="P959">
        <v>96</v>
      </c>
      <c r="Q959">
        <v>1</v>
      </c>
      <c r="R959">
        <v>9.8699999999999992</v>
      </c>
      <c r="S959" t="s">
        <v>33</v>
      </c>
      <c r="T959" t="s">
        <v>26</v>
      </c>
      <c r="U959">
        <v>15</v>
      </c>
    </row>
    <row r="960" spans="1:21" x14ac:dyDescent="0.25">
      <c r="A960" t="s">
        <v>20</v>
      </c>
      <c r="B960" t="s">
        <v>39</v>
      </c>
      <c r="C960" t="s">
        <v>40</v>
      </c>
      <c r="D960" t="s">
        <v>23</v>
      </c>
      <c r="E960" t="s">
        <v>24</v>
      </c>
      <c r="F960">
        <v>45</v>
      </c>
      <c r="G960">
        <v>63</v>
      </c>
      <c r="H960">
        <v>59</v>
      </c>
      <c r="J960">
        <v>45</v>
      </c>
      <c r="K960">
        <v>6.708203932</v>
      </c>
      <c r="L960">
        <v>45</v>
      </c>
      <c r="M960">
        <v>63</v>
      </c>
      <c r="N960">
        <v>167</v>
      </c>
      <c r="O960">
        <v>55.666666669999998</v>
      </c>
      <c r="P960">
        <v>52</v>
      </c>
      <c r="Q960">
        <v>2</v>
      </c>
      <c r="R960">
        <v>7.46</v>
      </c>
      <c r="S960" t="s">
        <v>41</v>
      </c>
      <c r="T960" t="s">
        <v>42</v>
      </c>
      <c r="U960">
        <v>11</v>
      </c>
    </row>
    <row r="961" spans="1:21" x14ac:dyDescent="0.25">
      <c r="A961" t="s">
        <v>34</v>
      </c>
      <c r="B961" t="s">
        <v>27</v>
      </c>
      <c r="C961" t="s">
        <v>40</v>
      </c>
      <c r="D961" t="s">
        <v>23</v>
      </c>
      <c r="E961" t="s">
        <v>24</v>
      </c>
      <c r="F961">
        <v>75</v>
      </c>
      <c r="G961">
        <v>81</v>
      </c>
      <c r="H961">
        <v>71</v>
      </c>
      <c r="J961">
        <v>75</v>
      </c>
      <c r="K961">
        <v>8.6602540379999997</v>
      </c>
      <c r="L961">
        <v>71</v>
      </c>
      <c r="M961">
        <v>81</v>
      </c>
      <c r="N961">
        <v>227</v>
      </c>
      <c r="O961">
        <v>75.666666669999998</v>
      </c>
      <c r="P961">
        <v>75</v>
      </c>
      <c r="Q961">
        <v>4</v>
      </c>
      <c r="R961">
        <v>8.6999999999999993</v>
      </c>
      <c r="S961" t="s">
        <v>41</v>
      </c>
      <c r="T961" t="s">
        <v>42</v>
      </c>
      <c r="U961">
        <v>11</v>
      </c>
    </row>
    <row r="962" spans="1:21" x14ac:dyDescent="0.25">
      <c r="A962" t="s">
        <v>20</v>
      </c>
      <c r="B962" t="s">
        <v>35</v>
      </c>
      <c r="C962" t="s">
        <v>28</v>
      </c>
      <c r="D962" t="s">
        <v>23</v>
      </c>
      <c r="E962" t="s">
        <v>24</v>
      </c>
      <c r="F962">
        <v>56</v>
      </c>
      <c r="G962">
        <v>58</v>
      </c>
      <c r="H962">
        <v>64</v>
      </c>
      <c r="J962">
        <v>56</v>
      </c>
      <c r="K962">
        <v>7.4833147740000001</v>
      </c>
      <c r="L962">
        <v>56</v>
      </c>
      <c r="M962">
        <v>64</v>
      </c>
      <c r="N962">
        <v>178</v>
      </c>
      <c r="O962">
        <v>59.333333330000002</v>
      </c>
      <c r="P962">
        <v>57</v>
      </c>
      <c r="Q962">
        <v>1</v>
      </c>
      <c r="R962">
        <v>7.7</v>
      </c>
      <c r="S962" t="s">
        <v>30</v>
      </c>
      <c r="T962" t="s">
        <v>31</v>
      </c>
      <c r="U962">
        <v>12</v>
      </c>
    </row>
    <row r="963" spans="1:21" x14ac:dyDescent="0.25">
      <c r="A963" t="s">
        <v>20</v>
      </c>
      <c r="B963" t="s">
        <v>39</v>
      </c>
      <c r="C963" t="s">
        <v>50</v>
      </c>
      <c r="D963" t="s">
        <v>37</v>
      </c>
      <c r="E963" t="s">
        <v>24</v>
      </c>
      <c r="F963">
        <v>48</v>
      </c>
      <c r="G963">
        <v>54</v>
      </c>
      <c r="H963">
        <v>53</v>
      </c>
      <c r="J963">
        <v>48</v>
      </c>
      <c r="K963">
        <v>6.9282032300000003</v>
      </c>
      <c r="L963">
        <v>48</v>
      </c>
      <c r="M963">
        <v>54</v>
      </c>
      <c r="N963">
        <v>155</v>
      </c>
      <c r="O963">
        <v>51.666666669999998</v>
      </c>
      <c r="P963">
        <v>50.5</v>
      </c>
      <c r="Q963">
        <v>2</v>
      </c>
      <c r="R963">
        <v>7.19</v>
      </c>
      <c r="S963" t="s">
        <v>30</v>
      </c>
      <c r="T963" t="s">
        <v>42</v>
      </c>
      <c r="U963">
        <v>16</v>
      </c>
    </row>
    <row r="964" spans="1:21" x14ac:dyDescent="0.25">
      <c r="A964" t="s">
        <v>20</v>
      </c>
      <c r="B964" t="s">
        <v>64</v>
      </c>
      <c r="C964" t="s">
        <v>36</v>
      </c>
      <c r="D964" t="s">
        <v>23</v>
      </c>
      <c r="E964" t="s">
        <v>24</v>
      </c>
      <c r="F964">
        <v>100</v>
      </c>
      <c r="G964">
        <v>100</v>
      </c>
      <c r="H964">
        <v>100</v>
      </c>
      <c r="J964">
        <v>100</v>
      </c>
      <c r="K964">
        <v>10</v>
      </c>
      <c r="L964">
        <v>100</v>
      </c>
      <c r="M964">
        <v>100</v>
      </c>
      <c r="N964">
        <v>300</v>
      </c>
      <c r="O964">
        <v>100</v>
      </c>
      <c r="P964">
        <v>100</v>
      </c>
      <c r="Q964">
        <v>1</v>
      </c>
      <c r="R964">
        <v>10</v>
      </c>
      <c r="S964" t="s">
        <v>38</v>
      </c>
      <c r="T964" t="s">
        <v>26</v>
      </c>
      <c r="U964">
        <v>18</v>
      </c>
    </row>
    <row r="965" spans="1:21" x14ac:dyDescent="0.25">
      <c r="A965" t="s">
        <v>20</v>
      </c>
      <c r="B965" t="s">
        <v>27</v>
      </c>
      <c r="C965" t="s">
        <v>50</v>
      </c>
      <c r="D965" t="s">
        <v>37</v>
      </c>
      <c r="E965" t="s">
        <v>29</v>
      </c>
      <c r="F965">
        <v>65</v>
      </c>
      <c r="G965">
        <v>76</v>
      </c>
      <c r="H965">
        <v>75</v>
      </c>
      <c r="J965">
        <v>65</v>
      </c>
      <c r="K965">
        <v>8.0622577480000004</v>
      </c>
      <c r="L965">
        <v>65</v>
      </c>
      <c r="M965">
        <v>76</v>
      </c>
      <c r="N965">
        <v>216</v>
      </c>
      <c r="O965">
        <v>72</v>
      </c>
      <c r="P965">
        <v>70</v>
      </c>
      <c r="Q965">
        <v>2</v>
      </c>
      <c r="R965">
        <v>8.49</v>
      </c>
      <c r="S965" t="s">
        <v>30</v>
      </c>
      <c r="T965" t="s">
        <v>42</v>
      </c>
      <c r="U965">
        <v>16</v>
      </c>
    </row>
    <row r="966" spans="1:21" x14ac:dyDescent="0.25">
      <c r="A966" t="s">
        <v>34</v>
      </c>
      <c r="B966" t="s">
        <v>39</v>
      </c>
      <c r="C966" t="s">
        <v>28</v>
      </c>
      <c r="D966" t="s">
        <v>23</v>
      </c>
      <c r="E966" t="s">
        <v>24</v>
      </c>
      <c r="F966">
        <v>72</v>
      </c>
      <c r="G966">
        <v>57</v>
      </c>
      <c r="H966">
        <v>58</v>
      </c>
      <c r="J966">
        <v>72</v>
      </c>
      <c r="K966">
        <v>8.4852813739999995</v>
      </c>
      <c r="L966">
        <v>57</v>
      </c>
      <c r="M966">
        <v>72</v>
      </c>
      <c r="N966">
        <v>187</v>
      </c>
      <c r="O966">
        <v>62.333333330000002</v>
      </c>
      <c r="P966">
        <v>65</v>
      </c>
      <c r="Q966">
        <v>3</v>
      </c>
      <c r="R966">
        <v>7.9</v>
      </c>
      <c r="S966" t="s">
        <v>30</v>
      </c>
      <c r="T966" t="s">
        <v>31</v>
      </c>
      <c r="U966">
        <v>12</v>
      </c>
    </row>
    <row r="967" spans="1:21" x14ac:dyDescent="0.25">
      <c r="A967" t="s">
        <v>20</v>
      </c>
      <c r="B967" t="s">
        <v>39</v>
      </c>
      <c r="C967" t="s">
        <v>28</v>
      </c>
      <c r="D967" t="s">
        <v>23</v>
      </c>
      <c r="E967" t="s">
        <v>24</v>
      </c>
      <c r="F967">
        <v>62</v>
      </c>
      <c r="G967">
        <v>70</v>
      </c>
      <c r="H967">
        <v>72</v>
      </c>
      <c r="J967">
        <v>62</v>
      </c>
      <c r="K967">
        <v>7.8740078740000001</v>
      </c>
      <c r="L967">
        <v>62</v>
      </c>
      <c r="M967">
        <v>72</v>
      </c>
      <c r="N967">
        <v>204</v>
      </c>
      <c r="O967">
        <v>68</v>
      </c>
      <c r="P967">
        <v>66</v>
      </c>
      <c r="Q967">
        <v>1</v>
      </c>
      <c r="R967">
        <v>8.25</v>
      </c>
      <c r="S967" t="s">
        <v>30</v>
      </c>
      <c r="T967" t="s">
        <v>31</v>
      </c>
      <c r="U967">
        <v>12</v>
      </c>
    </row>
    <row r="968" spans="1:21" x14ac:dyDescent="0.25">
      <c r="A968" t="s">
        <v>34</v>
      </c>
      <c r="B968" t="s">
        <v>35</v>
      </c>
      <c r="C968" t="s">
        <v>50</v>
      </c>
      <c r="D968" t="s">
        <v>23</v>
      </c>
      <c r="E968" t="s">
        <v>29</v>
      </c>
      <c r="F968">
        <v>66</v>
      </c>
      <c r="G968">
        <v>68</v>
      </c>
      <c r="H968">
        <v>64</v>
      </c>
      <c r="J968">
        <v>66</v>
      </c>
      <c r="K968">
        <v>8.1240384050000003</v>
      </c>
      <c r="L968">
        <v>64</v>
      </c>
      <c r="M968">
        <v>68</v>
      </c>
      <c r="N968">
        <v>198</v>
      </c>
      <c r="O968">
        <v>66</v>
      </c>
      <c r="P968">
        <v>66</v>
      </c>
      <c r="Q968">
        <v>4</v>
      </c>
      <c r="R968">
        <v>8.1199999999999992</v>
      </c>
      <c r="S968" t="s">
        <v>30</v>
      </c>
      <c r="T968" t="s">
        <v>42</v>
      </c>
      <c r="U968">
        <v>16</v>
      </c>
    </row>
    <row r="969" spans="1:21" x14ac:dyDescent="0.25">
      <c r="A969" t="s">
        <v>34</v>
      </c>
      <c r="B969" t="s">
        <v>27</v>
      </c>
      <c r="C969" t="s">
        <v>28</v>
      </c>
      <c r="D969" t="s">
        <v>23</v>
      </c>
      <c r="E969" t="s">
        <v>24</v>
      </c>
      <c r="F969">
        <v>63</v>
      </c>
      <c r="G969">
        <v>63</v>
      </c>
      <c r="H969">
        <v>60</v>
      </c>
      <c r="J969">
        <v>63</v>
      </c>
      <c r="K969">
        <v>7.937253933</v>
      </c>
      <c r="L969">
        <v>60</v>
      </c>
      <c r="M969">
        <v>63</v>
      </c>
      <c r="N969">
        <v>186</v>
      </c>
      <c r="O969">
        <v>62</v>
      </c>
      <c r="P969">
        <v>63</v>
      </c>
      <c r="Q969">
        <v>4</v>
      </c>
      <c r="R969">
        <v>7.87</v>
      </c>
      <c r="S969" t="s">
        <v>30</v>
      </c>
      <c r="T969" t="s">
        <v>31</v>
      </c>
      <c r="U969">
        <v>12</v>
      </c>
    </row>
    <row r="970" spans="1:21" x14ac:dyDescent="0.25">
      <c r="A970" t="s">
        <v>20</v>
      </c>
      <c r="B970" t="s">
        <v>64</v>
      </c>
      <c r="C970" t="s">
        <v>36</v>
      </c>
      <c r="D970" t="s">
        <v>23</v>
      </c>
      <c r="E970" t="s">
        <v>24</v>
      </c>
      <c r="F970">
        <v>68</v>
      </c>
      <c r="G970">
        <v>76</v>
      </c>
      <c r="H970">
        <v>67</v>
      </c>
      <c r="J970">
        <v>68</v>
      </c>
      <c r="K970">
        <v>8.2462112510000001</v>
      </c>
      <c r="L970">
        <v>67</v>
      </c>
      <c r="M970">
        <v>76</v>
      </c>
      <c r="N970">
        <v>211</v>
      </c>
      <c r="O970">
        <v>70.333333330000002</v>
      </c>
      <c r="P970">
        <v>68</v>
      </c>
      <c r="Q970">
        <v>4</v>
      </c>
      <c r="R970">
        <v>8.39</v>
      </c>
      <c r="S970" t="s">
        <v>38</v>
      </c>
      <c r="T970" t="s">
        <v>26</v>
      </c>
      <c r="U970">
        <v>18</v>
      </c>
    </row>
    <row r="971" spans="1:21" x14ac:dyDescent="0.25">
      <c r="A971" t="s">
        <v>20</v>
      </c>
      <c r="B971" t="s">
        <v>21</v>
      </c>
      <c r="C971" t="s">
        <v>22</v>
      </c>
      <c r="D971" t="s">
        <v>23</v>
      </c>
      <c r="E971" t="s">
        <v>24</v>
      </c>
      <c r="F971">
        <v>75</v>
      </c>
      <c r="G971">
        <v>84</v>
      </c>
      <c r="H971">
        <v>80</v>
      </c>
      <c r="J971">
        <v>75</v>
      </c>
      <c r="K971">
        <v>8.6602540379999997</v>
      </c>
      <c r="L971">
        <v>75</v>
      </c>
      <c r="M971">
        <v>84</v>
      </c>
      <c r="N971">
        <v>239</v>
      </c>
      <c r="O971">
        <v>79.666666669999998</v>
      </c>
      <c r="P971">
        <v>77.5</v>
      </c>
      <c r="Q971">
        <v>2</v>
      </c>
      <c r="R971">
        <v>8.93</v>
      </c>
      <c r="S971" t="s">
        <v>25</v>
      </c>
      <c r="T971" t="s">
        <v>26</v>
      </c>
      <c r="U971">
        <v>17</v>
      </c>
    </row>
    <row r="972" spans="1:21" x14ac:dyDescent="0.25">
      <c r="A972" t="s">
        <v>20</v>
      </c>
      <c r="B972" t="s">
        <v>39</v>
      </c>
      <c r="C972" t="s">
        <v>22</v>
      </c>
      <c r="D972" t="s">
        <v>23</v>
      </c>
      <c r="E972" t="s">
        <v>24</v>
      </c>
      <c r="F972">
        <v>89</v>
      </c>
      <c r="G972">
        <v>100</v>
      </c>
      <c r="H972">
        <v>100</v>
      </c>
      <c r="J972">
        <v>89</v>
      </c>
      <c r="K972">
        <v>9.4339811319999995</v>
      </c>
      <c r="L972">
        <v>89</v>
      </c>
      <c r="M972">
        <v>100</v>
      </c>
      <c r="N972">
        <v>289</v>
      </c>
      <c r="O972">
        <v>96.333333330000002</v>
      </c>
      <c r="P972">
        <v>94.5</v>
      </c>
      <c r="Q972">
        <v>1</v>
      </c>
      <c r="R972">
        <v>9.81</v>
      </c>
      <c r="S972" t="s">
        <v>25</v>
      </c>
      <c r="T972" t="s">
        <v>26</v>
      </c>
      <c r="U972">
        <v>17</v>
      </c>
    </row>
    <row r="973" spans="1:21" x14ac:dyDescent="0.25">
      <c r="A973" t="s">
        <v>34</v>
      </c>
      <c r="B973" t="s">
        <v>27</v>
      </c>
      <c r="C973" t="s">
        <v>50</v>
      </c>
      <c r="D973" t="s">
        <v>23</v>
      </c>
      <c r="E973" t="s">
        <v>29</v>
      </c>
      <c r="F973">
        <v>78</v>
      </c>
      <c r="G973">
        <v>72</v>
      </c>
      <c r="H973">
        <v>69</v>
      </c>
      <c r="J973">
        <v>78</v>
      </c>
      <c r="K973">
        <v>8.8317608659999998</v>
      </c>
      <c r="L973">
        <v>69</v>
      </c>
      <c r="M973">
        <v>78</v>
      </c>
      <c r="N973">
        <v>219</v>
      </c>
      <c r="O973">
        <v>73</v>
      </c>
      <c r="P973">
        <v>75</v>
      </c>
      <c r="Q973">
        <v>4</v>
      </c>
      <c r="R973">
        <v>8.5399999999999991</v>
      </c>
      <c r="S973" t="s">
        <v>30</v>
      </c>
      <c r="T973" t="s">
        <v>42</v>
      </c>
      <c r="U973">
        <v>16</v>
      </c>
    </row>
    <row r="974" spans="1:21" x14ac:dyDescent="0.25">
      <c r="A974" t="s">
        <v>20</v>
      </c>
      <c r="B974" t="s">
        <v>35</v>
      </c>
      <c r="C974" t="s">
        <v>40</v>
      </c>
      <c r="D974" t="s">
        <v>37</v>
      </c>
      <c r="E974" t="s">
        <v>29</v>
      </c>
      <c r="F974">
        <v>53</v>
      </c>
      <c r="G974">
        <v>50</v>
      </c>
      <c r="H974">
        <v>60</v>
      </c>
      <c r="J974">
        <v>53</v>
      </c>
      <c r="K974">
        <v>7.2801098890000002</v>
      </c>
      <c r="L974">
        <v>50</v>
      </c>
      <c r="M974">
        <v>60</v>
      </c>
      <c r="N974">
        <v>163</v>
      </c>
      <c r="O974">
        <v>54.333333330000002</v>
      </c>
      <c r="P974">
        <v>53</v>
      </c>
      <c r="Q974">
        <v>1</v>
      </c>
      <c r="R974">
        <v>7.37</v>
      </c>
      <c r="S974" t="s">
        <v>41</v>
      </c>
      <c r="T974" t="s">
        <v>42</v>
      </c>
      <c r="U974">
        <v>11</v>
      </c>
    </row>
    <row r="975" spans="1:21" x14ac:dyDescent="0.25">
      <c r="A975" t="s">
        <v>20</v>
      </c>
      <c r="B975" t="s">
        <v>39</v>
      </c>
      <c r="C975" t="s">
        <v>28</v>
      </c>
      <c r="D975" t="s">
        <v>37</v>
      </c>
      <c r="E975" t="s">
        <v>24</v>
      </c>
      <c r="F975">
        <v>49</v>
      </c>
      <c r="G975">
        <v>65</v>
      </c>
      <c r="H975">
        <v>61</v>
      </c>
      <c r="J975">
        <v>49</v>
      </c>
      <c r="K975">
        <v>7</v>
      </c>
      <c r="L975">
        <v>49</v>
      </c>
      <c r="M975">
        <v>65</v>
      </c>
      <c r="N975">
        <v>175</v>
      </c>
      <c r="O975">
        <v>58.333333330000002</v>
      </c>
      <c r="P975">
        <v>55</v>
      </c>
      <c r="Q975">
        <v>2</v>
      </c>
      <c r="R975">
        <v>7.64</v>
      </c>
      <c r="S975" t="s">
        <v>30</v>
      </c>
      <c r="T975" t="s">
        <v>31</v>
      </c>
      <c r="U975">
        <v>12</v>
      </c>
    </row>
    <row r="976" spans="1:21" x14ac:dyDescent="0.25">
      <c r="A976" t="s">
        <v>20</v>
      </c>
      <c r="B976" t="s">
        <v>35</v>
      </c>
      <c r="C976" t="s">
        <v>28</v>
      </c>
      <c r="D976" t="s">
        <v>23</v>
      </c>
      <c r="E976" t="s">
        <v>24</v>
      </c>
      <c r="F976">
        <v>54</v>
      </c>
      <c r="G976">
        <v>63</v>
      </c>
      <c r="H976">
        <v>67</v>
      </c>
      <c r="J976">
        <v>54</v>
      </c>
      <c r="K976">
        <v>7.3484692279999999</v>
      </c>
      <c r="L976">
        <v>54</v>
      </c>
      <c r="M976">
        <v>67</v>
      </c>
      <c r="N976">
        <v>184</v>
      </c>
      <c r="O976">
        <v>61.333333330000002</v>
      </c>
      <c r="P976">
        <v>58.5</v>
      </c>
      <c r="Q976">
        <v>1</v>
      </c>
      <c r="R976">
        <v>7.83</v>
      </c>
      <c r="S976" t="s">
        <v>30</v>
      </c>
      <c r="T976" t="s">
        <v>31</v>
      </c>
      <c r="U976">
        <v>12</v>
      </c>
    </row>
    <row r="977" spans="1:21" x14ac:dyDescent="0.25">
      <c r="A977" t="s">
        <v>20</v>
      </c>
      <c r="B977" t="s">
        <v>27</v>
      </c>
      <c r="C977" t="s">
        <v>28</v>
      </c>
      <c r="D977" t="s">
        <v>23</v>
      </c>
      <c r="E977" t="s">
        <v>29</v>
      </c>
      <c r="F977">
        <v>64</v>
      </c>
      <c r="G977">
        <v>82</v>
      </c>
      <c r="H977">
        <v>77</v>
      </c>
      <c r="J977">
        <v>64</v>
      </c>
      <c r="K977">
        <v>8</v>
      </c>
      <c r="L977">
        <v>64</v>
      </c>
      <c r="M977">
        <v>82</v>
      </c>
      <c r="N977">
        <v>223</v>
      </c>
      <c r="O977">
        <v>74.333333330000002</v>
      </c>
      <c r="P977">
        <v>70.5</v>
      </c>
      <c r="Q977">
        <v>2</v>
      </c>
      <c r="R977">
        <v>8.6199999999999992</v>
      </c>
      <c r="S977" t="s">
        <v>30</v>
      </c>
      <c r="T977" t="s">
        <v>31</v>
      </c>
      <c r="U977">
        <v>12</v>
      </c>
    </row>
    <row r="978" spans="1:21" x14ac:dyDescent="0.25">
      <c r="A978" t="s">
        <v>34</v>
      </c>
      <c r="B978" t="s">
        <v>21</v>
      </c>
      <c r="C978" t="s">
        <v>28</v>
      </c>
      <c r="D978" t="s">
        <v>37</v>
      </c>
      <c r="E978" t="s">
        <v>29</v>
      </c>
      <c r="F978">
        <v>60</v>
      </c>
      <c r="G978">
        <v>62</v>
      </c>
      <c r="H978">
        <v>60</v>
      </c>
      <c r="J978">
        <v>60</v>
      </c>
      <c r="K978">
        <v>7.7459666919999997</v>
      </c>
      <c r="L978">
        <v>60</v>
      </c>
      <c r="M978">
        <v>62</v>
      </c>
      <c r="N978">
        <v>182</v>
      </c>
      <c r="O978">
        <v>60.666666669999998</v>
      </c>
      <c r="P978">
        <v>60</v>
      </c>
      <c r="Q978">
        <v>2</v>
      </c>
      <c r="R978">
        <v>7.79</v>
      </c>
      <c r="S978" t="s">
        <v>30</v>
      </c>
      <c r="T978" t="s">
        <v>31</v>
      </c>
      <c r="U978">
        <v>12</v>
      </c>
    </row>
    <row r="979" spans="1:21" x14ac:dyDescent="0.25">
      <c r="A979" t="s">
        <v>34</v>
      </c>
      <c r="B979" t="s">
        <v>27</v>
      </c>
      <c r="C979" t="s">
        <v>36</v>
      </c>
      <c r="D979" t="s">
        <v>23</v>
      </c>
      <c r="E979" t="s">
        <v>24</v>
      </c>
      <c r="F979">
        <v>62</v>
      </c>
      <c r="G979">
        <v>65</v>
      </c>
      <c r="H979">
        <v>58</v>
      </c>
      <c r="J979">
        <v>62</v>
      </c>
      <c r="K979">
        <v>7.8740078740000001</v>
      </c>
      <c r="L979">
        <v>58</v>
      </c>
      <c r="M979">
        <v>65</v>
      </c>
      <c r="N979">
        <v>185</v>
      </c>
      <c r="O979">
        <v>61.666666669999998</v>
      </c>
      <c r="P979">
        <v>62</v>
      </c>
      <c r="Q979">
        <v>4</v>
      </c>
      <c r="R979">
        <v>7.85</v>
      </c>
      <c r="S979" t="s">
        <v>38</v>
      </c>
      <c r="T979" t="s">
        <v>26</v>
      </c>
      <c r="U979">
        <v>18</v>
      </c>
    </row>
    <row r="980" spans="1:21" x14ac:dyDescent="0.25">
      <c r="A980" t="s">
        <v>34</v>
      </c>
      <c r="B980" t="s">
        <v>39</v>
      </c>
      <c r="C980" t="s">
        <v>40</v>
      </c>
      <c r="D980" t="s">
        <v>23</v>
      </c>
      <c r="E980" t="s">
        <v>29</v>
      </c>
      <c r="F980">
        <v>55</v>
      </c>
      <c r="G980">
        <v>41</v>
      </c>
      <c r="H980">
        <v>48</v>
      </c>
      <c r="J980">
        <v>55</v>
      </c>
      <c r="K980">
        <v>7.416198487</v>
      </c>
      <c r="L980">
        <v>41</v>
      </c>
      <c r="M980">
        <v>55</v>
      </c>
      <c r="N980">
        <v>144</v>
      </c>
      <c r="O980">
        <v>48</v>
      </c>
      <c r="P980">
        <v>51.5</v>
      </c>
      <c r="Q980">
        <v>3</v>
      </c>
      <c r="R980">
        <v>6.93</v>
      </c>
      <c r="S980" t="s">
        <v>41</v>
      </c>
      <c r="T980" t="s">
        <v>42</v>
      </c>
      <c r="U980">
        <v>11</v>
      </c>
    </row>
    <row r="981" spans="1:21" x14ac:dyDescent="0.25">
      <c r="A981" t="s">
        <v>20</v>
      </c>
      <c r="B981" t="s">
        <v>27</v>
      </c>
      <c r="C981" t="s">
        <v>36</v>
      </c>
      <c r="D981" t="s">
        <v>23</v>
      </c>
      <c r="E981" t="s">
        <v>24</v>
      </c>
      <c r="F981">
        <v>91</v>
      </c>
      <c r="G981">
        <v>95</v>
      </c>
      <c r="H981">
        <v>94</v>
      </c>
      <c r="J981">
        <v>91</v>
      </c>
      <c r="K981">
        <v>9.5393920140000006</v>
      </c>
      <c r="L981">
        <v>91</v>
      </c>
      <c r="M981">
        <v>95</v>
      </c>
      <c r="N981">
        <v>280</v>
      </c>
      <c r="O981">
        <v>93.333333330000002</v>
      </c>
      <c r="P981">
        <v>92.5</v>
      </c>
      <c r="Q981">
        <v>2</v>
      </c>
      <c r="R981">
        <v>9.66</v>
      </c>
      <c r="S981" t="s">
        <v>38</v>
      </c>
      <c r="T981" t="s">
        <v>26</v>
      </c>
      <c r="U981">
        <v>18</v>
      </c>
    </row>
    <row r="982" spans="1:21" x14ac:dyDescent="0.25">
      <c r="A982" t="s">
        <v>20</v>
      </c>
      <c r="B982" t="s">
        <v>21</v>
      </c>
      <c r="C982" t="s">
        <v>40</v>
      </c>
      <c r="D982" t="s">
        <v>37</v>
      </c>
      <c r="E982" t="s">
        <v>24</v>
      </c>
      <c r="F982">
        <v>8</v>
      </c>
      <c r="G982">
        <v>24</v>
      </c>
      <c r="H982">
        <v>23</v>
      </c>
      <c r="J982">
        <v>8</v>
      </c>
      <c r="K982">
        <v>2.8284271250000002</v>
      </c>
      <c r="L982">
        <v>8</v>
      </c>
      <c r="M982">
        <v>24</v>
      </c>
      <c r="N982">
        <v>55</v>
      </c>
      <c r="O982">
        <v>18.333333329999999</v>
      </c>
      <c r="P982">
        <v>15.5</v>
      </c>
      <c r="Q982">
        <v>2</v>
      </c>
      <c r="R982">
        <v>4.28</v>
      </c>
      <c r="S982" t="s">
        <v>41</v>
      </c>
      <c r="T982" t="s">
        <v>42</v>
      </c>
      <c r="U982">
        <v>11</v>
      </c>
    </row>
    <row r="983" spans="1:21" x14ac:dyDescent="0.25">
      <c r="A983" t="s">
        <v>34</v>
      </c>
      <c r="B983" t="s">
        <v>39</v>
      </c>
      <c r="C983" t="s">
        <v>50</v>
      </c>
      <c r="D983" t="s">
        <v>23</v>
      </c>
      <c r="E983" t="s">
        <v>24</v>
      </c>
      <c r="F983">
        <v>81</v>
      </c>
      <c r="G983">
        <v>78</v>
      </c>
      <c r="H983">
        <v>78</v>
      </c>
      <c r="J983">
        <v>81</v>
      </c>
      <c r="K983">
        <v>9</v>
      </c>
      <c r="L983">
        <v>78</v>
      </c>
      <c r="M983">
        <v>81</v>
      </c>
      <c r="N983">
        <v>237</v>
      </c>
      <c r="O983">
        <v>79</v>
      </c>
      <c r="P983">
        <v>79.5</v>
      </c>
      <c r="Q983">
        <v>3</v>
      </c>
      <c r="R983">
        <v>8.89</v>
      </c>
      <c r="S983" t="s">
        <v>30</v>
      </c>
      <c r="T983" t="s">
        <v>42</v>
      </c>
      <c r="U983">
        <v>16</v>
      </c>
    </row>
    <row r="984" spans="1:21" x14ac:dyDescent="0.25">
      <c r="A984" t="s">
        <v>34</v>
      </c>
      <c r="B984" t="s">
        <v>21</v>
      </c>
      <c r="C984" t="s">
        <v>50</v>
      </c>
      <c r="D984" t="s">
        <v>23</v>
      </c>
      <c r="E984" t="s">
        <v>29</v>
      </c>
      <c r="F984">
        <v>79</v>
      </c>
      <c r="G984">
        <v>85</v>
      </c>
      <c r="H984">
        <v>86</v>
      </c>
      <c r="J984">
        <v>79</v>
      </c>
      <c r="K984">
        <v>8.8881944169999993</v>
      </c>
      <c r="L984">
        <v>79</v>
      </c>
      <c r="M984">
        <v>86</v>
      </c>
      <c r="N984">
        <v>250</v>
      </c>
      <c r="O984">
        <v>83.333333330000002</v>
      </c>
      <c r="P984">
        <v>82</v>
      </c>
      <c r="Q984">
        <v>1</v>
      </c>
      <c r="R984">
        <v>9.1300000000000008</v>
      </c>
      <c r="S984" t="s">
        <v>30</v>
      </c>
      <c r="T984" t="s">
        <v>42</v>
      </c>
      <c r="U984">
        <v>16</v>
      </c>
    </row>
    <row r="985" spans="1:21" x14ac:dyDescent="0.25">
      <c r="A985" t="s">
        <v>20</v>
      </c>
      <c r="B985" t="s">
        <v>35</v>
      </c>
      <c r="C985" t="s">
        <v>28</v>
      </c>
      <c r="D985" t="s">
        <v>23</v>
      </c>
      <c r="E985" t="s">
        <v>29</v>
      </c>
      <c r="F985">
        <v>78</v>
      </c>
      <c r="G985">
        <v>87</v>
      </c>
      <c r="H985">
        <v>91</v>
      </c>
      <c r="J985">
        <v>78</v>
      </c>
      <c r="K985">
        <v>8.8317608659999998</v>
      </c>
      <c r="L985">
        <v>78</v>
      </c>
      <c r="M985">
        <v>91</v>
      </c>
      <c r="N985">
        <v>256</v>
      </c>
      <c r="O985">
        <v>85.333333330000002</v>
      </c>
      <c r="P985">
        <v>82.5</v>
      </c>
      <c r="Q985">
        <v>1</v>
      </c>
      <c r="R985">
        <v>9.24</v>
      </c>
      <c r="S985" t="s">
        <v>30</v>
      </c>
      <c r="T985" t="s">
        <v>31</v>
      </c>
      <c r="U985">
        <v>12</v>
      </c>
    </row>
    <row r="986" spans="1:21" x14ac:dyDescent="0.25">
      <c r="A986" t="s">
        <v>20</v>
      </c>
      <c r="B986" t="s">
        <v>27</v>
      </c>
      <c r="C986" t="s">
        <v>50</v>
      </c>
      <c r="D986" t="s">
        <v>23</v>
      </c>
      <c r="E986" t="s">
        <v>24</v>
      </c>
      <c r="F986">
        <v>74</v>
      </c>
      <c r="G986">
        <v>75</v>
      </c>
      <c r="H986">
        <v>82</v>
      </c>
      <c r="J986">
        <v>74</v>
      </c>
      <c r="K986">
        <v>8.6023252669999994</v>
      </c>
      <c r="L986">
        <v>74</v>
      </c>
      <c r="M986">
        <v>82</v>
      </c>
      <c r="N986">
        <v>231</v>
      </c>
      <c r="O986">
        <v>77</v>
      </c>
      <c r="P986">
        <v>74.5</v>
      </c>
      <c r="Q986">
        <v>1</v>
      </c>
      <c r="R986">
        <v>8.77</v>
      </c>
      <c r="S986" t="s">
        <v>30</v>
      </c>
      <c r="T986" t="s">
        <v>42</v>
      </c>
      <c r="U986">
        <v>16</v>
      </c>
    </row>
    <row r="987" spans="1:21" x14ac:dyDescent="0.25">
      <c r="A987" t="s">
        <v>34</v>
      </c>
      <c r="B987" t="s">
        <v>35</v>
      </c>
      <c r="C987" t="s">
        <v>40</v>
      </c>
      <c r="D987" t="s">
        <v>23</v>
      </c>
      <c r="E987" t="s">
        <v>24</v>
      </c>
      <c r="F987">
        <v>57</v>
      </c>
      <c r="G987">
        <v>51</v>
      </c>
      <c r="H987">
        <v>54</v>
      </c>
      <c r="J987">
        <v>57</v>
      </c>
      <c r="K987">
        <v>7.5498344350000002</v>
      </c>
      <c r="L987">
        <v>51</v>
      </c>
      <c r="M987">
        <v>57</v>
      </c>
      <c r="N987">
        <v>162</v>
      </c>
      <c r="O987">
        <v>54</v>
      </c>
      <c r="P987">
        <v>55.5</v>
      </c>
      <c r="Q987">
        <v>3</v>
      </c>
      <c r="R987">
        <v>7.35</v>
      </c>
      <c r="S987" t="s">
        <v>41</v>
      </c>
      <c r="T987" t="s">
        <v>42</v>
      </c>
      <c r="U987">
        <v>11</v>
      </c>
    </row>
    <row r="988" spans="1:21" x14ac:dyDescent="0.25">
      <c r="A988" t="s">
        <v>20</v>
      </c>
      <c r="B988" t="s">
        <v>27</v>
      </c>
      <c r="C988" t="s">
        <v>36</v>
      </c>
      <c r="D988" t="s">
        <v>23</v>
      </c>
      <c r="E988" t="s">
        <v>24</v>
      </c>
      <c r="F988">
        <v>40</v>
      </c>
      <c r="G988">
        <v>59</v>
      </c>
      <c r="H988">
        <v>51</v>
      </c>
      <c r="J988">
        <v>40</v>
      </c>
      <c r="K988">
        <v>6.32455532</v>
      </c>
      <c r="L988">
        <v>40</v>
      </c>
      <c r="M988">
        <v>59</v>
      </c>
      <c r="N988">
        <v>150</v>
      </c>
      <c r="O988">
        <v>50</v>
      </c>
      <c r="P988">
        <v>45.5</v>
      </c>
      <c r="Q988">
        <v>2</v>
      </c>
      <c r="R988">
        <v>7.07</v>
      </c>
      <c r="S988" t="s">
        <v>38</v>
      </c>
      <c r="T988" t="s">
        <v>26</v>
      </c>
      <c r="U988">
        <v>18</v>
      </c>
    </row>
    <row r="989" spans="1:21" x14ac:dyDescent="0.25">
      <c r="A989" t="s">
        <v>34</v>
      </c>
      <c r="B989" t="s">
        <v>64</v>
      </c>
      <c r="C989" t="s">
        <v>50</v>
      </c>
      <c r="D989" t="s">
        <v>23</v>
      </c>
      <c r="E989" t="s">
        <v>29</v>
      </c>
      <c r="F989">
        <v>81</v>
      </c>
      <c r="G989">
        <v>75</v>
      </c>
      <c r="H989">
        <v>76</v>
      </c>
      <c r="J989">
        <v>81</v>
      </c>
      <c r="K989">
        <v>9</v>
      </c>
      <c r="L989">
        <v>75</v>
      </c>
      <c r="M989">
        <v>81</v>
      </c>
      <c r="N989">
        <v>232</v>
      </c>
      <c r="O989">
        <v>77.333333330000002</v>
      </c>
      <c r="P989">
        <v>78.5</v>
      </c>
      <c r="Q989">
        <v>3</v>
      </c>
      <c r="R989">
        <v>8.7899999999999991</v>
      </c>
      <c r="S989" t="s">
        <v>30</v>
      </c>
      <c r="T989" t="s">
        <v>42</v>
      </c>
      <c r="U989">
        <v>16</v>
      </c>
    </row>
    <row r="990" spans="1:21" x14ac:dyDescent="0.25">
      <c r="A990" t="s">
        <v>20</v>
      </c>
      <c r="B990" t="s">
        <v>35</v>
      </c>
      <c r="C990" t="s">
        <v>50</v>
      </c>
      <c r="D990" t="s">
        <v>37</v>
      </c>
      <c r="E990" t="s">
        <v>24</v>
      </c>
      <c r="F990">
        <v>44</v>
      </c>
      <c r="G990">
        <v>45</v>
      </c>
      <c r="H990">
        <v>45</v>
      </c>
      <c r="J990">
        <v>44</v>
      </c>
      <c r="K990">
        <v>6.6332495810000003</v>
      </c>
      <c r="L990">
        <v>44</v>
      </c>
      <c r="M990">
        <v>45</v>
      </c>
      <c r="N990">
        <v>134</v>
      </c>
      <c r="O990">
        <v>44.666666669999998</v>
      </c>
      <c r="P990">
        <v>44.5</v>
      </c>
      <c r="Q990">
        <v>1</v>
      </c>
      <c r="R990">
        <v>6.68</v>
      </c>
      <c r="S990" t="s">
        <v>30</v>
      </c>
      <c r="T990" t="s">
        <v>42</v>
      </c>
      <c r="U990">
        <v>16</v>
      </c>
    </row>
    <row r="991" spans="1:21" x14ac:dyDescent="0.25">
      <c r="A991" t="s">
        <v>20</v>
      </c>
      <c r="B991" t="s">
        <v>39</v>
      </c>
      <c r="C991" t="s">
        <v>28</v>
      </c>
      <c r="D991" t="s">
        <v>37</v>
      </c>
      <c r="E991" t="s">
        <v>29</v>
      </c>
      <c r="F991">
        <v>67</v>
      </c>
      <c r="G991">
        <v>86</v>
      </c>
      <c r="H991">
        <v>83</v>
      </c>
      <c r="J991">
        <v>67</v>
      </c>
      <c r="K991">
        <v>8.1853527719999999</v>
      </c>
      <c r="L991">
        <v>67</v>
      </c>
      <c r="M991">
        <v>86</v>
      </c>
      <c r="N991">
        <v>236</v>
      </c>
      <c r="O991">
        <v>78.666666669999998</v>
      </c>
      <c r="P991">
        <v>75</v>
      </c>
      <c r="Q991">
        <v>2</v>
      </c>
      <c r="R991">
        <v>8.8699999999999992</v>
      </c>
      <c r="S991" t="s">
        <v>30</v>
      </c>
      <c r="T991" t="s">
        <v>31</v>
      </c>
      <c r="U991">
        <v>12</v>
      </c>
    </row>
    <row r="992" spans="1:21" x14ac:dyDescent="0.25">
      <c r="A992" t="s">
        <v>34</v>
      </c>
      <c r="B992" t="s">
        <v>64</v>
      </c>
      <c r="C992" t="s">
        <v>40</v>
      </c>
      <c r="D992" t="s">
        <v>37</v>
      </c>
      <c r="E992" t="s">
        <v>29</v>
      </c>
      <c r="F992">
        <v>86</v>
      </c>
      <c r="G992">
        <v>81</v>
      </c>
      <c r="H992">
        <v>75</v>
      </c>
      <c r="J992">
        <v>86</v>
      </c>
      <c r="K992">
        <v>9.2736184949999991</v>
      </c>
      <c r="L992">
        <v>75</v>
      </c>
      <c r="M992">
        <v>86</v>
      </c>
      <c r="N992">
        <v>242</v>
      </c>
      <c r="O992">
        <v>80.666666669999998</v>
      </c>
      <c r="P992">
        <v>83.5</v>
      </c>
      <c r="Q992">
        <v>4</v>
      </c>
      <c r="R992">
        <v>8.98</v>
      </c>
      <c r="S992" t="s">
        <v>41</v>
      </c>
      <c r="T992" t="s">
        <v>42</v>
      </c>
      <c r="U992">
        <v>11</v>
      </c>
    </row>
    <row r="993" spans="1:21" x14ac:dyDescent="0.25">
      <c r="A993" t="s">
        <v>20</v>
      </c>
      <c r="B993" t="s">
        <v>21</v>
      </c>
      <c r="C993" t="s">
        <v>50</v>
      </c>
      <c r="D993" t="s">
        <v>23</v>
      </c>
      <c r="E993" t="s">
        <v>29</v>
      </c>
      <c r="F993">
        <v>65</v>
      </c>
      <c r="G993">
        <v>82</v>
      </c>
      <c r="H993">
        <v>78</v>
      </c>
      <c r="J993">
        <v>65</v>
      </c>
      <c r="K993">
        <v>8.0622577480000004</v>
      </c>
      <c r="L993">
        <v>65</v>
      </c>
      <c r="M993">
        <v>82</v>
      </c>
      <c r="N993">
        <v>225</v>
      </c>
      <c r="O993">
        <v>75</v>
      </c>
      <c r="P993">
        <v>71.5</v>
      </c>
      <c r="Q993">
        <v>2</v>
      </c>
      <c r="R993">
        <v>8.66</v>
      </c>
      <c r="S993" t="s">
        <v>30</v>
      </c>
      <c r="T993" t="s">
        <v>42</v>
      </c>
      <c r="U993">
        <v>16</v>
      </c>
    </row>
    <row r="994" spans="1:21" x14ac:dyDescent="0.25">
      <c r="A994" t="s">
        <v>20</v>
      </c>
      <c r="B994" t="s">
        <v>39</v>
      </c>
      <c r="C994" t="s">
        <v>36</v>
      </c>
      <c r="D994" t="s">
        <v>37</v>
      </c>
      <c r="E994" t="s">
        <v>24</v>
      </c>
      <c r="F994">
        <v>55</v>
      </c>
      <c r="G994">
        <v>76</v>
      </c>
      <c r="H994">
        <v>76</v>
      </c>
      <c r="J994">
        <v>55</v>
      </c>
      <c r="K994">
        <v>7.416198487</v>
      </c>
      <c r="L994">
        <v>55</v>
      </c>
      <c r="M994">
        <v>76</v>
      </c>
      <c r="N994">
        <v>207</v>
      </c>
      <c r="O994">
        <v>69</v>
      </c>
      <c r="P994">
        <v>65.5</v>
      </c>
      <c r="Q994">
        <v>1</v>
      </c>
      <c r="R994">
        <v>8.31</v>
      </c>
      <c r="S994" t="s">
        <v>38</v>
      </c>
      <c r="T994" t="s">
        <v>26</v>
      </c>
      <c r="U994">
        <v>18</v>
      </c>
    </row>
    <row r="995" spans="1:21" x14ac:dyDescent="0.25">
      <c r="A995" t="s">
        <v>20</v>
      </c>
      <c r="B995" t="s">
        <v>39</v>
      </c>
      <c r="C995" t="s">
        <v>22</v>
      </c>
      <c r="D995" t="s">
        <v>37</v>
      </c>
      <c r="E995" t="s">
        <v>24</v>
      </c>
      <c r="F995">
        <v>62</v>
      </c>
      <c r="G995">
        <v>72</v>
      </c>
      <c r="H995">
        <v>74</v>
      </c>
      <c r="J995">
        <v>62</v>
      </c>
      <c r="K995">
        <v>7.8740078740000001</v>
      </c>
      <c r="L995">
        <v>62</v>
      </c>
      <c r="M995">
        <v>74</v>
      </c>
      <c r="N995">
        <v>208</v>
      </c>
      <c r="O995">
        <v>69.333333330000002</v>
      </c>
      <c r="P995">
        <v>67</v>
      </c>
      <c r="Q995">
        <v>1</v>
      </c>
      <c r="R995">
        <v>8.33</v>
      </c>
      <c r="S995" t="s">
        <v>25</v>
      </c>
      <c r="T995" t="s">
        <v>26</v>
      </c>
      <c r="U995">
        <v>17</v>
      </c>
    </row>
    <row r="996" spans="1:21" x14ac:dyDescent="0.25">
      <c r="A996" t="s">
        <v>34</v>
      </c>
      <c r="B996" t="s">
        <v>35</v>
      </c>
      <c r="C996" t="s">
        <v>40</v>
      </c>
      <c r="D996" t="s">
        <v>23</v>
      </c>
      <c r="E996" t="s">
        <v>24</v>
      </c>
      <c r="F996">
        <v>63</v>
      </c>
      <c r="G996">
        <v>63</v>
      </c>
      <c r="H996">
        <v>62</v>
      </c>
      <c r="J996">
        <v>63</v>
      </c>
      <c r="K996">
        <v>7.937253933</v>
      </c>
      <c r="L996">
        <v>62</v>
      </c>
      <c r="M996">
        <v>63</v>
      </c>
      <c r="N996">
        <v>188</v>
      </c>
      <c r="O996">
        <v>62.666666669999998</v>
      </c>
      <c r="P996">
        <v>63</v>
      </c>
      <c r="Q996">
        <v>4</v>
      </c>
      <c r="R996">
        <v>7.92</v>
      </c>
      <c r="S996" t="s">
        <v>41</v>
      </c>
      <c r="T996" t="s">
        <v>42</v>
      </c>
      <c r="U996">
        <v>11</v>
      </c>
    </row>
    <row r="997" spans="1:21" x14ac:dyDescent="0.25">
      <c r="A997" t="s">
        <v>20</v>
      </c>
      <c r="B997" t="s">
        <v>64</v>
      </c>
      <c r="C997" t="s">
        <v>32</v>
      </c>
      <c r="D997" t="s">
        <v>23</v>
      </c>
      <c r="E997" t="s">
        <v>29</v>
      </c>
      <c r="F997">
        <v>88</v>
      </c>
      <c r="G997">
        <v>99</v>
      </c>
      <c r="H997">
        <v>95</v>
      </c>
      <c r="J997">
        <v>88</v>
      </c>
      <c r="K997">
        <v>9.3808315199999992</v>
      </c>
      <c r="L997">
        <v>88</v>
      </c>
      <c r="M997">
        <v>99</v>
      </c>
      <c r="N997">
        <v>282</v>
      </c>
      <c r="O997">
        <v>94</v>
      </c>
      <c r="P997">
        <v>91.5</v>
      </c>
      <c r="Q997">
        <v>2</v>
      </c>
      <c r="R997">
        <v>9.6999999999999993</v>
      </c>
      <c r="S997" t="s">
        <v>33</v>
      </c>
      <c r="T997" t="s">
        <v>26</v>
      </c>
      <c r="U997">
        <v>15</v>
      </c>
    </row>
    <row r="998" spans="1:21" x14ac:dyDescent="0.25">
      <c r="A998" t="s">
        <v>34</v>
      </c>
      <c r="B998" t="s">
        <v>27</v>
      </c>
      <c r="C998" t="s">
        <v>40</v>
      </c>
      <c r="D998" t="s">
        <v>37</v>
      </c>
      <c r="E998" t="s">
        <v>24</v>
      </c>
      <c r="F998">
        <v>62</v>
      </c>
      <c r="G998">
        <v>55</v>
      </c>
      <c r="H998">
        <v>55</v>
      </c>
      <c r="J998">
        <v>62</v>
      </c>
      <c r="K998">
        <v>7.8740078740000001</v>
      </c>
      <c r="L998">
        <v>55</v>
      </c>
      <c r="M998">
        <v>62</v>
      </c>
      <c r="N998">
        <v>172</v>
      </c>
      <c r="O998">
        <v>57.333333330000002</v>
      </c>
      <c r="P998">
        <v>58.5</v>
      </c>
      <c r="Q998">
        <v>3</v>
      </c>
      <c r="R998">
        <v>7.57</v>
      </c>
      <c r="S998" t="s">
        <v>41</v>
      </c>
      <c r="T998" t="s">
        <v>42</v>
      </c>
      <c r="U998">
        <v>11</v>
      </c>
    </row>
    <row r="999" spans="1:21" x14ac:dyDescent="0.25">
      <c r="A999" t="s">
        <v>20</v>
      </c>
      <c r="B999" t="s">
        <v>27</v>
      </c>
      <c r="C999" t="s">
        <v>40</v>
      </c>
      <c r="D999" t="s">
        <v>37</v>
      </c>
      <c r="E999" t="s">
        <v>29</v>
      </c>
      <c r="F999">
        <v>59</v>
      </c>
      <c r="G999">
        <v>71</v>
      </c>
      <c r="H999">
        <v>65</v>
      </c>
      <c r="J999">
        <v>59</v>
      </c>
      <c r="K999">
        <v>7.6811457479999996</v>
      </c>
      <c r="L999">
        <v>59</v>
      </c>
      <c r="M999">
        <v>71</v>
      </c>
      <c r="N999">
        <v>195</v>
      </c>
      <c r="O999">
        <v>65</v>
      </c>
      <c r="P999">
        <v>62</v>
      </c>
      <c r="Q999">
        <v>2</v>
      </c>
      <c r="R999">
        <v>8.06</v>
      </c>
      <c r="S999" t="s">
        <v>41</v>
      </c>
      <c r="T999" t="s">
        <v>42</v>
      </c>
      <c r="U999">
        <v>11</v>
      </c>
    </row>
    <row r="1000" spans="1:21" x14ac:dyDescent="0.25">
      <c r="A1000" t="s">
        <v>20</v>
      </c>
      <c r="B1000" t="s">
        <v>39</v>
      </c>
      <c r="C1000" t="s">
        <v>28</v>
      </c>
      <c r="D1000" t="s">
        <v>23</v>
      </c>
      <c r="E1000" t="s">
        <v>29</v>
      </c>
      <c r="F1000">
        <v>68</v>
      </c>
      <c r="G1000">
        <v>78</v>
      </c>
      <c r="H1000">
        <v>77</v>
      </c>
      <c r="J1000">
        <v>68</v>
      </c>
      <c r="K1000">
        <v>8.2462112510000001</v>
      </c>
      <c r="L1000">
        <v>68</v>
      </c>
      <c r="M1000">
        <v>78</v>
      </c>
      <c r="N1000">
        <v>223</v>
      </c>
      <c r="O1000">
        <v>74.333333330000002</v>
      </c>
      <c r="P1000">
        <v>72.5</v>
      </c>
      <c r="Q1000">
        <v>2</v>
      </c>
      <c r="R1000">
        <v>8.6199999999999992</v>
      </c>
      <c r="S1000" t="s">
        <v>30</v>
      </c>
      <c r="T1000" t="s">
        <v>31</v>
      </c>
      <c r="U1000">
        <v>12</v>
      </c>
    </row>
    <row r="1001" spans="1:21" x14ac:dyDescent="0.25">
      <c r="A1001" t="s">
        <v>20</v>
      </c>
      <c r="B1001" t="s">
        <v>39</v>
      </c>
      <c r="C1001" t="s">
        <v>28</v>
      </c>
      <c r="D1001" t="s">
        <v>37</v>
      </c>
      <c r="E1001" t="s">
        <v>24</v>
      </c>
      <c r="F1001">
        <v>77</v>
      </c>
      <c r="G1001">
        <v>86</v>
      </c>
      <c r="H1001">
        <v>86</v>
      </c>
      <c r="J1001">
        <v>77</v>
      </c>
      <c r="K1001">
        <v>8.7749643870000007</v>
      </c>
      <c r="L1001">
        <v>77</v>
      </c>
      <c r="M1001">
        <v>86</v>
      </c>
      <c r="N1001">
        <v>249</v>
      </c>
      <c r="O1001">
        <v>83</v>
      </c>
      <c r="P1001">
        <v>81.5</v>
      </c>
      <c r="Q1001">
        <v>1</v>
      </c>
      <c r="R1001">
        <v>9.11</v>
      </c>
      <c r="S1001" t="s">
        <v>30</v>
      </c>
      <c r="T1001" t="s">
        <v>31</v>
      </c>
      <c r="U1001">
        <v>12</v>
      </c>
    </row>
    <row r="1004" spans="1:21" x14ac:dyDescent="0.25">
      <c r="F1004" t="s">
        <v>68</v>
      </c>
      <c r="L1004" t="s">
        <v>69</v>
      </c>
      <c r="M1004" t="s">
        <v>65</v>
      </c>
      <c r="N1004" t="s">
        <v>70</v>
      </c>
      <c r="O1004" t="s">
        <v>71</v>
      </c>
      <c r="P1004" t="s">
        <v>72</v>
      </c>
    </row>
    <row r="1005" spans="1:21" x14ac:dyDescent="0.25">
      <c r="E1005" t="s">
        <v>43</v>
      </c>
      <c r="F1005" t="s">
        <v>44</v>
      </c>
      <c r="G1005" t="s">
        <v>45</v>
      </c>
      <c r="H1005" t="s">
        <v>73</v>
      </c>
      <c r="L1005" s="1">
        <v>46174</v>
      </c>
      <c r="M1005" t="s">
        <v>74</v>
      </c>
      <c r="N1005" t="s">
        <v>75</v>
      </c>
      <c r="O1005" t="s">
        <v>76</v>
      </c>
      <c r="P1005">
        <v>100</v>
      </c>
    </row>
    <row r="1006" spans="1:21" x14ac:dyDescent="0.25">
      <c r="E1006" t="s">
        <v>77</v>
      </c>
      <c r="F1006">
        <v>66.088999999999999</v>
      </c>
      <c r="G1006">
        <v>69.168999999999997</v>
      </c>
      <c r="H1006">
        <v>68.054000000000002</v>
      </c>
      <c r="L1006" s="1">
        <v>46174</v>
      </c>
      <c r="M1006" t="s">
        <v>78</v>
      </c>
      <c r="N1006" t="s">
        <v>79</v>
      </c>
      <c r="O1006" t="s">
        <v>80</v>
      </c>
      <c r="P1006">
        <v>50</v>
      </c>
    </row>
    <row r="1007" spans="1:21" x14ac:dyDescent="0.25">
      <c r="E1007" t="s">
        <v>81</v>
      </c>
      <c r="F1007">
        <v>66</v>
      </c>
      <c r="G1007">
        <v>70</v>
      </c>
      <c r="H1007">
        <v>69</v>
      </c>
      <c r="L1007" s="1">
        <v>38870</v>
      </c>
      <c r="M1007" t="s">
        <v>74</v>
      </c>
      <c r="N1007" t="s">
        <v>75</v>
      </c>
      <c r="O1007" t="s">
        <v>76</v>
      </c>
      <c r="P1007">
        <v>100</v>
      </c>
      <c r="S1007" t="s">
        <v>43</v>
      </c>
      <c r="T1007" t="s">
        <v>44</v>
      </c>
    </row>
    <row r="1008" spans="1:21" x14ac:dyDescent="0.25">
      <c r="E1008" t="s">
        <v>82</v>
      </c>
      <c r="F1008">
        <v>65</v>
      </c>
      <c r="G1008">
        <v>72</v>
      </c>
      <c r="H1008">
        <v>74</v>
      </c>
      <c r="L1008" s="1">
        <v>46176</v>
      </c>
      <c r="M1008" t="s">
        <v>74</v>
      </c>
      <c r="N1008" t="s">
        <v>75</v>
      </c>
      <c r="O1008" t="s">
        <v>76</v>
      </c>
      <c r="P1008">
        <v>30</v>
      </c>
      <c r="S1008" t="s">
        <v>83</v>
      </c>
      <c r="T1008">
        <v>60</v>
      </c>
    </row>
    <row r="1009" spans="5:21" x14ac:dyDescent="0.25">
      <c r="E1009" t="s">
        <v>84</v>
      </c>
      <c r="F1009">
        <v>100</v>
      </c>
      <c r="G1009">
        <v>83</v>
      </c>
      <c r="H1009">
        <v>90</v>
      </c>
      <c r="L1009" s="1">
        <v>46177</v>
      </c>
      <c r="M1009" t="s">
        <v>78</v>
      </c>
      <c r="N1009" t="s">
        <v>85</v>
      </c>
      <c r="O1009" t="s">
        <v>80</v>
      </c>
      <c r="P1009">
        <v>20</v>
      </c>
      <c r="S1009" t="s">
        <v>75</v>
      </c>
      <c r="T1009">
        <v>76.666666669999998</v>
      </c>
    </row>
    <row r="1010" spans="5:21" x14ac:dyDescent="0.25">
      <c r="E1010" t="s">
        <v>86</v>
      </c>
      <c r="F1010">
        <v>100</v>
      </c>
      <c r="G1010">
        <v>100</v>
      </c>
      <c r="H1010">
        <v>100</v>
      </c>
      <c r="O1010" t="s">
        <v>43</v>
      </c>
      <c r="P1010" t="s">
        <v>44</v>
      </c>
      <c r="S1010" t="s">
        <v>87</v>
      </c>
      <c r="T1010">
        <v>76.666666669999998</v>
      </c>
    </row>
    <row r="1011" spans="5:21" x14ac:dyDescent="0.25">
      <c r="E1011" t="s">
        <v>88</v>
      </c>
      <c r="F1011">
        <v>0</v>
      </c>
      <c r="G1011">
        <v>17</v>
      </c>
      <c r="H1011">
        <v>10</v>
      </c>
      <c r="O1011" t="s">
        <v>89</v>
      </c>
      <c r="P1011">
        <v>300</v>
      </c>
      <c r="S1011" t="s">
        <v>90</v>
      </c>
      <c r="T1011">
        <v>76.666666669999998</v>
      </c>
    </row>
    <row r="1012" spans="5:21" x14ac:dyDescent="0.25">
      <c r="E1012" t="s">
        <v>91</v>
      </c>
      <c r="F1012">
        <v>229.91899799999999</v>
      </c>
      <c r="G1012">
        <v>213.16560459999999</v>
      </c>
      <c r="H1012">
        <v>230.90799200000001</v>
      </c>
      <c r="O1012" t="s">
        <v>75</v>
      </c>
      <c r="P1012">
        <v>230</v>
      </c>
    </row>
    <row r="1013" spans="5:21" x14ac:dyDescent="0.25">
      <c r="E1013" t="s">
        <v>92</v>
      </c>
      <c r="F1013">
        <v>15.1630801</v>
      </c>
      <c r="G1013">
        <v>14.60019194</v>
      </c>
      <c r="H1013">
        <v>15.19565701</v>
      </c>
      <c r="O1013" t="s">
        <v>87</v>
      </c>
      <c r="P1013">
        <v>230</v>
      </c>
    </row>
    <row r="1014" spans="5:21" x14ac:dyDescent="0.25">
      <c r="E1014" t="s">
        <v>93</v>
      </c>
      <c r="F1014">
        <v>0.81757966400000004</v>
      </c>
      <c r="G1014">
        <v>0.802642046</v>
      </c>
      <c r="H1014">
        <v>0.802642046</v>
      </c>
      <c r="O1014" t="s">
        <v>90</v>
      </c>
      <c r="P1014">
        <v>230</v>
      </c>
    </row>
    <row r="1017" spans="5:21" x14ac:dyDescent="0.25">
      <c r="R1017" s="4" t="s">
        <v>94</v>
      </c>
      <c r="S1017" s="5" t="s">
        <v>95</v>
      </c>
      <c r="T1017" s="5" t="s">
        <v>96</v>
      </c>
      <c r="U1017" s="6" t="s">
        <v>97</v>
      </c>
    </row>
    <row r="1018" spans="5:21" x14ac:dyDescent="0.25">
      <c r="R1018" s="7">
        <v>101</v>
      </c>
      <c r="S1018" s="8" t="s">
        <v>98</v>
      </c>
      <c r="T1018" s="8" t="s">
        <v>99</v>
      </c>
      <c r="U1018" s="9">
        <v>85</v>
      </c>
    </row>
    <row r="1019" spans="5:21" x14ac:dyDescent="0.25">
      <c r="R1019" s="10">
        <v>102</v>
      </c>
      <c r="S1019" s="11" t="s">
        <v>100</v>
      </c>
      <c r="T1019" s="11" t="s">
        <v>101</v>
      </c>
      <c r="U1019" s="12">
        <v>90</v>
      </c>
    </row>
    <row r="1020" spans="5:21" x14ac:dyDescent="0.25">
      <c r="R1020" s="7">
        <v>103</v>
      </c>
      <c r="S1020" s="8" t="s">
        <v>102</v>
      </c>
      <c r="T1020" s="8" t="s">
        <v>103</v>
      </c>
      <c r="U1020" s="9">
        <v>78</v>
      </c>
    </row>
    <row r="1021" spans="5:21" x14ac:dyDescent="0.25">
      <c r="E1021" s="2" t="s">
        <v>94</v>
      </c>
      <c r="F1021" s="2" t="s">
        <v>95</v>
      </c>
      <c r="G1021" s="2" t="s">
        <v>96</v>
      </c>
      <c r="H1021" s="2" t="s">
        <v>97</v>
      </c>
      <c r="R1021" s="10">
        <v>104</v>
      </c>
      <c r="S1021" s="11" t="s">
        <v>104</v>
      </c>
      <c r="T1021" s="11" t="s">
        <v>99</v>
      </c>
      <c r="U1021" s="12">
        <v>88</v>
      </c>
    </row>
    <row r="1022" spans="5:21" x14ac:dyDescent="0.25">
      <c r="E1022" s="3">
        <v>101</v>
      </c>
      <c r="F1022" s="3" t="s">
        <v>98</v>
      </c>
      <c r="G1022" s="3" t="s">
        <v>99</v>
      </c>
      <c r="H1022" s="3">
        <v>85</v>
      </c>
      <c r="R1022" s="7">
        <v>105</v>
      </c>
      <c r="S1022" s="8" t="s">
        <v>105</v>
      </c>
      <c r="T1022" s="8" t="s">
        <v>106</v>
      </c>
      <c r="U1022" s="9">
        <v>92</v>
      </c>
    </row>
    <row r="1023" spans="5:21" x14ac:dyDescent="0.25">
      <c r="E1023" s="3">
        <v>102</v>
      </c>
      <c r="F1023" s="3" t="s">
        <v>100</v>
      </c>
      <c r="G1023" s="3" t="s">
        <v>101</v>
      </c>
      <c r="H1023" s="3">
        <v>90</v>
      </c>
      <c r="K1023" t="s">
        <v>43</v>
      </c>
      <c r="L1023" t="s">
        <v>44</v>
      </c>
      <c r="O1023" t="s">
        <v>110</v>
      </c>
      <c r="P1023" t="s">
        <v>43</v>
      </c>
    </row>
    <row r="1024" spans="5:21" x14ac:dyDescent="0.25">
      <c r="E1024" s="3">
        <v>103</v>
      </c>
      <c r="F1024" s="3" t="s">
        <v>102</v>
      </c>
      <c r="G1024" s="3" t="s">
        <v>103</v>
      </c>
      <c r="H1024" s="3">
        <v>78</v>
      </c>
      <c r="K1024" t="s">
        <v>107</v>
      </c>
      <c r="O1024" t="s">
        <v>99</v>
      </c>
      <c r="P1024" t="str">
        <f>HLOOKUP(G1022,G1022:H1026,5,0)</f>
        <v>EEE</v>
      </c>
    </row>
    <row r="1025" spans="5:20" x14ac:dyDescent="0.25">
      <c r="E1025" s="3">
        <v>104</v>
      </c>
      <c r="F1025" s="3" t="s">
        <v>104</v>
      </c>
      <c r="G1025" s="3" t="s">
        <v>99</v>
      </c>
      <c r="H1025" s="3">
        <v>88</v>
      </c>
      <c r="K1025" t="s">
        <v>108</v>
      </c>
      <c r="L1025">
        <f>VLOOKUP(F1024,F1022:H1026,3,0)</f>
        <v>78</v>
      </c>
      <c r="O1025" t="s">
        <v>98</v>
      </c>
      <c r="P1025" t="str">
        <f>HLOOKUP(F1022,F1022:F1026,4,0)</f>
        <v>Sita</v>
      </c>
    </row>
    <row r="1026" spans="5:20" x14ac:dyDescent="0.25">
      <c r="E1026" s="3">
        <v>105</v>
      </c>
      <c r="F1026" s="3" t="s">
        <v>105</v>
      </c>
      <c r="G1026" s="3" t="s">
        <v>106</v>
      </c>
      <c r="H1026" s="3">
        <v>92</v>
      </c>
      <c r="K1026" t="s">
        <v>109</v>
      </c>
      <c r="L1026">
        <f>VLOOKUP(F1026,F1022:H1026,3,0)</f>
        <v>92</v>
      </c>
    </row>
    <row r="1028" spans="5:20" x14ac:dyDescent="0.25">
      <c r="J1028" t="s">
        <v>43</v>
      </c>
      <c r="K1028" t="s">
        <v>111</v>
      </c>
      <c r="N1028" t="s">
        <v>43</v>
      </c>
      <c r="O1028" t="s">
        <v>112</v>
      </c>
      <c r="Q1028" t="s">
        <v>43</v>
      </c>
      <c r="R1028" t="s">
        <v>113</v>
      </c>
    </row>
    <row r="1029" spans="5:20" x14ac:dyDescent="0.25">
      <c r="J1029" t="s">
        <v>103</v>
      </c>
      <c r="K1029">
        <f>MATCH(J1029,G1022:G1026,0)</f>
        <v>3</v>
      </c>
      <c r="N1029" t="s">
        <v>98</v>
      </c>
      <c r="O1029">
        <f>INDEX(F1022:H1026,1,3)</f>
        <v>85</v>
      </c>
      <c r="Q1029" t="s">
        <v>98</v>
      </c>
      <c r="R1029">
        <f>_xlfn.XLOOKUP(F1022,Table9[Name],Table9[Marks])</f>
        <v>85</v>
      </c>
    </row>
    <row r="1030" spans="5:20" x14ac:dyDescent="0.25">
      <c r="J1030" t="s">
        <v>105</v>
      </c>
      <c r="K1030">
        <f>MATCH(J1030,F1022:F1026,0)</f>
        <v>5</v>
      </c>
      <c r="N1030" t="s">
        <v>105</v>
      </c>
      <c r="O1030">
        <f>INDEX(F1022:H1026,5,3)</f>
        <v>92</v>
      </c>
      <c r="Q1030" t="s">
        <v>104</v>
      </c>
      <c r="R1030" t="str">
        <f>_xlfn.XLOOKUP(F1025,Table9[Name],Table9[Branch])</f>
        <v>CSE</v>
      </c>
    </row>
    <row r="1033" spans="5:20" x14ac:dyDescent="0.25">
      <c r="S1033" t="s">
        <v>114</v>
      </c>
      <c r="T1033" t="s">
        <v>102</v>
      </c>
    </row>
    <row r="1034" spans="5:20" x14ac:dyDescent="0.25">
      <c r="S1034" t="s">
        <v>110</v>
      </c>
      <c r="T1034">
        <f>HLOOKUP(M1036,M1036:Q1038,3,0)</f>
        <v>85</v>
      </c>
    </row>
    <row r="1035" spans="5:20" x14ac:dyDescent="0.25">
      <c r="L1035" s="13" t="str" cm="1">
        <f t="array" ref="L1035:Q1038">TRANSPOSE(Table9[#All])</f>
        <v>Student ID</v>
      </c>
      <c r="M1035" s="13">
        <v>101</v>
      </c>
      <c r="N1035" s="13">
        <v>102</v>
      </c>
      <c r="O1035" s="13">
        <v>103</v>
      </c>
      <c r="P1035" s="13">
        <v>104</v>
      </c>
      <c r="Q1035" s="13">
        <v>105</v>
      </c>
      <c r="S1035" t="s">
        <v>111</v>
      </c>
      <c r="T1035">
        <f>MATCH(M1037,M1036:M1038,0)</f>
        <v>2</v>
      </c>
    </row>
    <row r="1036" spans="5:20" x14ac:dyDescent="0.25">
      <c r="L1036" s="13" t="str">
        <v>Name</v>
      </c>
      <c r="M1036" s="13" t="str">
        <v>Ravi</v>
      </c>
      <c r="N1036" s="13" t="str">
        <v>Priya</v>
      </c>
      <c r="O1036" s="13" t="str">
        <v>Kiran</v>
      </c>
      <c r="P1036" s="13" t="str">
        <v>Sita</v>
      </c>
      <c r="Q1036" s="13" t="str">
        <v>Ajay</v>
      </c>
      <c r="S1036" t="s">
        <v>115</v>
      </c>
      <c r="T1036" t="str">
        <f>INDEX(M1036:Q1038,1,3)</f>
        <v>Kiran</v>
      </c>
    </row>
    <row r="1037" spans="5:20" x14ac:dyDescent="0.25">
      <c r="L1037" s="13" t="str">
        <v>Branch</v>
      </c>
      <c r="M1037" s="13" t="str">
        <v>CSE</v>
      </c>
      <c r="N1037" s="13" t="str">
        <v>ECE</v>
      </c>
      <c r="O1037" s="13" t="str">
        <v>MECH</v>
      </c>
      <c r="P1037" s="13" t="str">
        <v>CSE</v>
      </c>
      <c r="Q1037" s="13" t="str">
        <v>EEE</v>
      </c>
    </row>
    <row r="1038" spans="5:20" x14ac:dyDescent="0.25">
      <c r="L1038" s="13" t="str">
        <v>Marks</v>
      </c>
      <c r="M1038" s="13">
        <v>85</v>
      </c>
      <c r="N1038" s="13">
        <v>90</v>
      </c>
      <c r="O1038" s="13">
        <v>78</v>
      </c>
      <c r="P1038" s="13">
        <v>88</v>
      </c>
      <c r="Q1038" s="13">
        <v>92</v>
      </c>
    </row>
    <row r="1043" spans="10:22" x14ac:dyDescent="0.25">
      <c r="J1043" t="s">
        <v>43</v>
      </c>
      <c r="K1043" s="14" t="s">
        <v>126</v>
      </c>
      <c r="L1043" t="s">
        <v>44</v>
      </c>
      <c r="M1043" t="s">
        <v>45</v>
      </c>
      <c r="N1043" t="s">
        <v>73</v>
      </c>
      <c r="O1043" t="s">
        <v>129</v>
      </c>
      <c r="P1043" t="s">
        <v>131</v>
      </c>
      <c r="Q1043" t="s">
        <v>133</v>
      </c>
      <c r="R1043" t="s">
        <v>135</v>
      </c>
      <c r="S1043" t="s">
        <v>136</v>
      </c>
      <c r="T1043" t="s">
        <v>138</v>
      </c>
      <c r="U1043" t="s">
        <v>141</v>
      </c>
      <c r="V1043" t="s">
        <v>143</v>
      </c>
    </row>
    <row r="1044" spans="10:22" x14ac:dyDescent="0.25">
      <c r="J1044" s="15" t="s">
        <v>95</v>
      </c>
      <c r="K1044" s="15" t="s">
        <v>97</v>
      </c>
      <c r="L1044" s="15" t="s">
        <v>116</v>
      </c>
      <c r="M1044" s="15" t="s">
        <v>125</v>
      </c>
      <c r="N1044" s="15" t="s">
        <v>127</v>
      </c>
      <c r="O1044" s="15" t="s">
        <v>128</v>
      </c>
      <c r="P1044" s="15" t="s">
        <v>130</v>
      </c>
      <c r="Q1044" s="15" t="s">
        <v>132</v>
      </c>
      <c r="R1044" s="15" t="s">
        <v>134</v>
      </c>
      <c r="S1044" s="15" t="s">
        <v>139</v>
      </c>
      <c r="T1044" s="15" t="s">
        <v>137</v>
      </c>
      <c r="U1044" s="15" t="s">
        <v>140</v>
      </c>
      <c r="V1044" s="15" t="s">
        <v>142</v>
      </c>
    </row>
    <row r="1045" spans="10:22" x14ac:dyDescent="0.25">
      <c r="J1045" t="s">
        <v>117</v>
      </c>
      <c r="K1045">
        <v>80</v>
      </c>
      <c r="L1045" t="s">
        <v>123</v>
      </c>
      <c r="M1045" t="str">
        <f>IF(K1045&lt;35,"Fail","Pass")</f>
        <v>Pass</v>
      </c>
      <c r="N1045" t="str">
        <f>IF(Table15[[#This Row],[IF CONDITION]]&gt;80,"A+",IF(Table15[[#This Row],[IF CONDITION]]&gt;70,"B+",IF(Table15[[#This Row],[IF CONDITION]]&lt;50,"Fail")))</f>
        <v>B+</v>
      </c>
      <c r="O1045" t="b">
        <f>AND(Table15[[#This Row],[IF CONDITION]]&gt;70,Table15[[#This Row],[IF CONDITION]]&gt;50)</f>
        <v>1</v>
      </c>
      <c r="P1045" t="b">
        <f>OR(Table15[[#This Row],[IF CONDITION]]&gt;75,Table15[[#This Row],[IF CONDITION]]&gt;=60)</f>
        <v>1</v>
      </c>
      <c r="Q1045" t="b">
        <f>NOT(Table15[[#This Row],[IF CONDITION]]&gt;80)</f>
        <v>1</v>
      </c>
      <c r="R1045" t="b">
        <f>_xlfn.XOR(Table15[[#This Row],[Column6]],Table15[[#This Row],[Column7]])</f>
        <v>0</v>
      </c>
      <c r="S1045" t="b">
        <f>ISERROR(10/0)</f>
        <v>1</v>
      </c>
      <c r="T1045" t="b">
        <f>ISBLANK(Table15[[#This Row],[Column9]])</f>
        <v>0</v>
      </c>
      <c r="U1045" t="b">
        <f>ISNUMBER(Table15[[#This Row],[IF CONDITION]])</f>
        <v>1</v>
      </c>
      <c r="V1045" t="str">
        <f>IFERROR(Table15[[#This Row],[IF CONDITION]]/0,"Error")</f>
        <v>Error</v>
      </c>
    </row>
    <row r="1046" spans="10:22" x14ac:dyDescent="0.25">
      <c r="J1046" t="s">
        <v>118</v>
      </c>
      <c r="K1046">
        <v>85</v>
      </c>
      <c r="L1046" t="s">
        <v>123</v>
      </c>
      <c r="M1046" t="str">
        <f t="shared" ref="M1046:M1050" si="0">IF(K1046&lt;35,"Fail","Pass")</f>
        <v>Pass</v>
      </c>
      <c r="N1046" t="str">
        <f>IF(Table15[[#This Row],[IF CONDITION]]&gt;80,"A+",IF(Table15[[#This Row],[IF CONDITION]]&gt;70,"B+",IF(Table15[[#This Row],[IF CONDITION]]&lt;50,"Fail")))</f>
        <v>A+</v>
      </c>
      <c r="O1046" t="b">
        <f>AND(Table15[[#This Row],[IF CONDITION]]&gt;70,Table15[[#This Row],[IF CONDITION]]&gt;50)</f>
        <v>1</v>
      </c>
      <c r="P1046" t="b">
        <f>OR(Table15[[#This Row],[IF CONDITION]]&gt;75,Table15[[#This Row],[IF CONDITION]]&gt;=60)</f>
        <v>1</v>
      </c>
      <c r="Q1046" t="b">
        <f>NOT(Table15[[#This Row],[IF CONDITION]]&gt;80)</f>
        <v>0</v>
      </c>
      <c r="R1046" t="b">
        <f>_xlfn.XOR(Table15[[#This Row],[Column6]],Table15[[#This Row],[Column7]])</f>
        <v>1</v>
      </c>
      <c r="S1046" t="b">
        <f>ISERROR(10/10)</f>
        <v>0</v>
      </c>
      <c r="T1046" t="b">
        <f>ISBLANK(Table15[[#This Row],[IF CONDITION]]&lt;10)</f>
        <v>0</v>
      </c>
      <c r="U1046" t="b">
        <f>ISNUMBER(W1046)</f>
        <v>0</v>
      </c>
      <c r="V1046" t="str">
        <f>IFERROR(Table15[[#This Row],[IF CONDITION]]/0,"Error")</f>
        <v>Error</v>
      </c>
    </row>
    <row r="1047" spans="10:22" x14ac:dyDescent="0.25">
      <c r="J1047" t="s">
        <v>119</v>
      </c>
      <c r="K1047">
        <v>90</v>
      </c>
      <c r="L1047" t="s">
        <v>123</v>
      </c>
      <c r="M1047" t="str">
        <f t="shared" si="0"/>
        <v>Pass</v>
      </c>
      <c r="N1047" t="str">
        <f>IF(Table15[[#This Row],[IF CONDITION]]&gt;80,"A+",IF(Table15[[#This Row],[IF CONDITION]]&gt;70,"B+",IF(Table15[[#This Row],[IF CONDITION]]&lt;50,"Fail")))</f>
        <v>A+</v>
      </c>
      <c r="O1047" t="b">
        <f>AND(Table15[[#This Row],[IF CONDITION]]&gt;70,Table15[[#This Row],[IF CONDITION]]&gt;50)</f>
        <v>1</v>
      </c>
      <c r="P1047" t="b">
        <f>OR(Table15[[#This Row],[IF CONDITION]]&gt;75,Table15[[#This Row],[IF CONDITION]]&gt;=60)</f>
        <v>1</v>
      </c>
      <c r="Q1047" t="b">
        <f>NOT(Table15[[#This Row],[IF CONDITION]]&gt;80)</f>
        <v>0</v>
      </c>
      <c r="R1047" t="b">
        <f>_xlfn.XOR(Table15[[#This Row],[Column6]],Table15[[#This Row],[Column7]])</f>
        <v>1</v>
      </c>
      <c r="S1047" t="b">
        <f>ISERROR(78/90)</f>
        <v>0</v>
      </c>
      <c r="T1047" t="b">
        <f>ISBLANK(Table15[[#This Row],[IF CONDITION]]&lt;10)</f>
        <v>0</v>
      </c>
      <c r="U1047" t="b">
        <f t="shared" ref="U1047:U1049" si="1">ISNUMBER(W1047)</f>
        <v>0</v>
      </c>
      <c r="V1047" t="str">
        <f>IFERROR(Table15[[#This Row],[IF CONDITION]]/0,"Error")</f>
        <v>Error</v>
      </c>
    </row>
    <row r="1048" spans="10:22" x14ac:dyDescent="0.25">
      <c r="J1048" t="s">
        <v>120</v>
      </c>
      <c r="K1048">
        <v>15</v>
      </c>
      <c r="L1048" t="s">
        <v>124</v>
      </c>
      <c r="M1048" t="str">
        <f>IF(K1048&lt;35,"Fail","Pass")</f>
        <v>Fail</v>
      </c>
      <c r="N1048" t="str">
        <f>IF(Table15[[#This Row],[IF CONDITION]]&gt;80,"A+",IF(Table15[[#This Row],[IF CONDITION]]&gt;70,"B+",IF(Table15[[#This Row],[IF CONDITION]]&lt;50,"Fail")))</f>
        <v>Fail</v>
      </c>
      <c r="O1048" t="b">
        <f>AND(Table15[[#This Row],[IF CONDITION]]&gt;70,Table15[[#This Row],[IF CONDITION]]&gt;50)</f>
        <v>0</v>
      </c>
      <c r="P1048" t="b">
        <f>OR(Table15[[#This Row],[IF CONDITION]]&gt;75,Table15[[#This Row],[IF CONDITION]]&gt;=60)</f>
        <v>0</v>
      </c>
      <c r="Q1048" t="b">
        <f>NOT(Table15[[#This Row],[IF CONDITION]]&gt;80)</f>
        <v>1</v>
      </c>
      <c r="R1048" t="b">
        <f>_xlfn.XOR(Table15[[#This Row],[Column6]],Table15[[#This Row],[Column7]])</f>
        <v>1</v>
      </c>
      <c r="S1048" t="b">
        <f t="shared" ref="S1048:S1049" si="2">ISERROR(78/90)</f>
        <v>0</v>
      </c>
      <c r="T1048" t="b">
        <f>ISBLANK(Table15[[#This Row],[Column9]])</f>
        <v>0</v>
      </c>
      <c r="U1048" t="b">
        <f t="shared" si="1"/>
        <v>0</v>
      </c>
      <c r="V1048" t="str">
        <f>IFERROR(Table15[[#This Row],[IF CONDITION]]/0,"Error")</f>
        <v>Error</v>
      </c>
    </row>
    <row r="1049" spans="10:22" x14ac:dyDescent="0.25">
      <c r="J1049" t="s">
        <v>121</v>
      </c>
      <c r="K1049">
        <v>45</v>
      </c>
      <c r="L1049" t="s">
        <v>123</v>
      </c>
      <c r="M1049" t="str">
        <f t="shared" si="0"/>
        <v>Pass</v>
      </c>
      <c r="N1049" t="str">
        <f>IF(Table15[[#This Row],[IF CONDITION]]&gt;80,"A+",IF(Table15[[#This Row],[IF CONDITION]]&gt;70,"B+",IF(Table15[[#This Row],[IF CONDITION]]&lt;50,"Fail")))</f>
        <v>Fail</v>
      </c>
      <c r="O1049" t="b">
        <f>AND(Table15[[#This Row],[IF CONDITION]]&gt;70,Table15[[#This Row],[IF CONDITION]]&gt;50)</f>
        <v>0</v>
      </c>
      <c r="P1049" t="b">
        <f>OR(Table15[[#This Row],[IF CONDITION]]&gt;75,Table15[[#This Row],[IF CONDITION]]&gt;=60)</f>
        <v>0</v>
      </c>
      <c r="Q1049" t="b">
        <f>NOT(Table15[[#This Row],[IF CONDITION]]&gt;80)</f>
        <v>1</v>
      </c>
      <c r="R1049" t="b">
        <f>_xlfn.XOR(Table15[[#This Row],[Column6]],Table15[[#This Row],[Column7]])</f>
        <v>1</v>
      </c>
      <c r="S1049" t="b">
        <f t="shared" si="2"/>
        <v>0</v>
      </c>
      <c r="T1049" t="b">
        <f>ISBLANK(Table15[[#This Row],[IF CONDITION]]&lt;10)</f>
        <v>0</v>
      </c>
      <c r="U1049" t="b">
        <f t="shared" si="1"/>
        <v>0</v>
      </c>
      <c r="V1049" t="str">
        <f>IFERROR(Table15[[#This Row],[IF CONDITION]]/0,"Error")</f>
        <v>Error</v>
      </c>
    </row>
    <row r="1050" spans="10:22" x14ac:dyDescent="0.25">
      <c r="J1050" t="s">
        <v>122</v>
      </c>
      <c r="K1050">
        <v>50</v>
      </c>
      <c r="L1050" t="s">
        <v>123</v>
      </c>
      <c r="M1050" t="str">
        <f t="shared" si="0"/>
        <v>Pass</v>
      </c>
      <c r="N1050" t="str">
        <f>IF(Table15[[#This Row],[IF CONDITION]]&gt;80,"A+",IF(Table15[[#This Row],[IF CONDITION]]&gt;70,"B+",IF(Table15[[#This Row],[IF CONDITION]]&lt;50,"Fail","Fail")))</f>
        <v>Fail</v>
      </c>
      <c r="O1050" t="b">
        <f>AND(Table15[[#This Row],[IF CONDITION]]&gt;70,Table15[[#This Row],[IF CONDITION]]&gt;50)</f>
        <v>0</v>
      </c>
      <c r="P1050" t="b">
        <f>OR(Table15[[#This Row],[IF CONDITION]]&gt;75,Table15[[#This Row],[IF CONDITION]]&gt;=60)</f>
        <v>0</v>
      </c>
      <c r="Q1050" t="b">
        <f>NOT(Table15[[#This Row],[IF CONDITION]]&gt;80)</f>
        <v>1</v>
      </c>
      <c r="R1050" t="b">
        <f>_xlfn.XOR(Table15[[#This Row],[Column6]],Table15[[#This Row],[Column7]])</f>
        <v>1</v>
      </c>
      <c r="S1050" t="b">
        <f>ISERROR(9/0)</f>
        <v>1</v>
      </c>
      <c r="T1050" t="b">
        <f>ISBLANK(Table15[[#This Row],[IF CONDITION]]&lt;10)</f>
        <v>0</v>
      </c>
      <c r="U1050" t="b">
        <f>ISNUMBER(K1049)</f>
        <v>1</v>
      </c>
      <c r="V1050" t="str">
        <f>IFERROR(Table15[[#This Row],[IF CONDITION]]/0,"Error")</f>
        <v>Error</v>
      </c>
    </row>
    <row r="1053" spans="10:22" x14ac:dyDescent="0.25">
      <c r="L1053" s="16"/>
    </row>
    <row r="1054" spans="10:22" x14ac:dyDescent="0.25">
      <c r="L1054" s="24" t="s">
        <v>144</v>
      </c>
    </row>
    <row r="1055" spans="10:22" x14ac:dyDescent="0.25">
      <c r="R1055" t="s">
        <v>69</v>
      </c>
      <c r="S1055" t="s">
        <v>65</v>
      </c>
      <c r="T1055" t="s">
        <v>70</v>
      </c>
      <c r="U1055" t="s">
        <v>71</v>
      </c>
      <c r="V1055" t="s">
        <v>72</v>
      </c>
    </row>
    <row r="1056" spans="10:22" ht="21" x14ac:dyDescent="0.35">
      <c r="K1056" s="18" t="str" cm="1">
        <f t="array" ref="K1056:P1059">TRANSPOSE(Table9[#All])</f>
        <v>Student ID</v>
      </c>
      <c r="L1056" s="26">
        <v>101</v>
      </c>
      <c r="M1056" s="26">
        <v>102</v>
      </c>
      <c r="N1056" s="26">
        <v>103</v>
      </c>
      <c r="O1056" s="26">
        <v>104</v>
      </c>
      <c r="P1056" s="26">
        <v>105</v>
      </c>
      <c r="R1056" s="25">
        <v>46174</v>
      </c>
      <c r="S1056" t="s">
        <v>74</v>
      </c>
      <c r="T1056" t="s">
        <v>75</v>
      </c>
      <c r="U1056" t="s">
        <v>76</v>
      </c>
      <c r="V1056" s="28">
        <v>100</v>
      </c>
    </row>
    <row r="1057" spans="11:22" ht="21" x14ac:dyDescent="0.35">
      <c r="K1057" s="18" t="str">
        <v>Name</v>
      </c>
      <c r="L1057" s="17" t="str">
        <v>Ravi</v>
      </c>
      <c r="M1057" s="17" t="str">
        <v>Priya</v>
      </c>
      <c r="N1057" s="17" t="str">
        <v>Kiran</v>
      </c>
      <c r="O1057" s="17" t="str">
        <v>Sita</v>
      </c>
      <c r="P1057" s="17" t="str">
        <v>Ajay</v>
      </c>
      <c r="R1057" s="25">
        <v>46174</v>
      </c>
      <c r="S1057" t="s">
        <v>78</v>
      </c>
      <c r="T1057" t="s">
        <v>79</v>
      </c>
      <c r="U1057" t="s">
        <v>80</v>
      </c>
      <c r="V1057" s="28">
        <v>50</v>
      </c>
    </row>
    <row r="1058" spans="11:22" ht="21.75" thickBot="1" x14ac:dyDescent="0.4">
      <c r="K1058" s="18" t="str">
        <v>Branch</v>
      </c>
      <c r="L1058" s="20" t="str">
        <v>CSE</v>
      </c>
      <c r="M1058" s="20" t="str">
        <v>ECE</v>
      </c>
      <c r="N1058" s="20" t="str">
        <v>MECH</v>
      </c>
      <c r="O1058" s="20" t="str">
        <v>CSE</v>
      </c>
      <c r="P1058" s="20" t="str">
        <v>EEE</v>
      </c>
      <c r="R1058" s="25">
        <v>38870</v>
      </c>
      <c r="S1058" t="s">
        <v>74</v>
      </c>
      <c r="T1058" t="s">
        <v>75</v>
      </c>
      <c r="U1058" t="s">
        <v>76</v>
      </c>
      <c r="V1058" s="28">
        <v>100</v>
      </c>
    </row>
    <row r="1059" spans="11:22" ht="22.5" thickTop="1" thickBot="1" x14ac:dyDescent="0.4">
      <c r="K1059" s="19" t="str">
        <v>Marks</v>
      </c>
      <c r="L1059" s="21">
        <v>85</v>
      </c>
      <c r="M1059" s="22">
        <v>90</v>
      </c>
      <c r="N1059" s="22">
        <v>78</v>
      </c>
      <c r="O1059" s="22">
        <v>88</v>
      </c>
      <c r="P1059" s="23">
        <v>92</v>
      </c>
      <c r="R1059" s="25">
        <v>46176</v>
      </c>
      <c r="S1059" t="s">
        <v>74</v>
      </c>
      <c r="T1059" t="s">
        <v>75</v>
      </c>
      <c r="U1059" t="s">
        <v>76</v>
      </c>
      <c r="V1059" s="27">
        <v>30</v>
      </c>
    </row>
    <row r="1060" spans="11:22" ht="15.75" thickTop="1" x14ac:dyDescent="0.25">
      <c r="R1060" s="25">
        <v>46177</v>
      </c>
      <c r="S1060" t="s">
        <v>78</v>
      </c>
      <c r="T1060" t="s">
        <v>85</v>
      </c>
      <c r="U1060" t="s">
        <v>80</v>
      </c>
      <c r="V1060" s="27">
        <v>20</v>
      </c>
    </row>
    <row r="1062" spans="11:22" x14ac:dyDescent="0.25">
      <c r="N1062" s="25">
        <f ca="1">TODAY()</f>
        <v>46177</v>
      </c>
      <c r="O1062" s="1">
        <v>46177</v>
      </c>
    </row>
    <row r="1063" spans="11:22" x14ac:dyDescent="0.25">
      <c r="N1063" s="25">
        <v>46178</v>
      </c>
      <c r="O1063" s="1">
        <v>46178</v>
      </c>
    </row>
    <row r="1068" spans="11:22" x14ac:dyDescent="0.25">
      <c r="K1068" s="41" t="s">
        <v>145</v>
      </c>
    </row>
    <row r="1070" spans="11:22" x14ac:dyDescent="0.25">
      <c r="K1070" s="36" t="s">
        <v>0</v>
      </c>
      <c r="L1070" s="37" t="s">
        <v>1</v>
      </c>
      <c r="M1070" s="37" t="s">
        <v>2</v>
      </c>
      <c r="N1070" s="37" t="s">
        <v>3</v>
      </c>
      <c r="O1070" s="37" t="s">
        <v>4</v>
      </c>
      <c r="P1070" s="37" t="s">
        <v>5</v>
      </c>
      <c r="Q1070" s="37" t="s">
        <v>6</v>
      </c>
      <c r="R1070" s="37" t="s">
        <v>7</v>
      </c>
      <c r="S1070" s="38" t="s">
        <v>146</v>
      </c>
    </row>
    <row r="1071" spans="11:22" x14ac:dyDescent="0.25">
      <c r="K1071" s="34" t="s">
        <v>20</v>
      </c>
      <c r="L1071" s="13" t="s">
        <v>21</v>
      </c>
      <c r="M1071" s="13" t="s">
        <v>22</v>
      </c>
      <c r="N1071" s="13" t="s">
        <v>23</v>
      </c>
      <c r="O1071" s="13" t="s">
        <v>24</v>
      </c>
      <c r="P1071" s="13">
        <v>72</v>
      </c>
      <c r="Q1071" s="13">
        <v>72</v>
      </c>
      <c r="R1071" s="13">
        <v>74</v>
      </c>
      <c r="S1071" s="42">
        <v>844654</v>
      </c>
    </row>
    <row r="1072" spans="11:22" x14ac:dyDescent="0.25">
      <c r="K1072" s="34" t="s">
        <v>20</v>
      </c>
      <c r="L1072" s="13" t="s">
        <v>27</v>
      </c>
      <c r="M1072" s="13" t="s">
        <v>28</v>
      </c>
      <c r="N1072" s="13" t="s">
        <v>23</v>
      </c>
      <c r="O1072" s="13" t="s">
        <v>29</v>
      </c>
      <c r="P1072" s="13">
        <v>69</v>
      </c>
      <c r="Q1072" s="30">
        <v>90</v>
      </c>
      <c r="R1072" s="13">
        <v>88</v>
      </c>
      <c r="S1072" s="43">
        <v>8306623863</v>
      </c>
    </row>
    <row r="1073" spans="11:19" x14ac:dyDescent="0.25">
      <c r="K1073" s="34" t="s">
        <v>20</v>
      </c>
      <c r="L1073" s="13" t="s">
        <v>21</v>
      </c>
      <c r="M1073" s="13" t="s">
        <v>32</v>
      </c>
      <c r="N1073" s="13" t="s">
        <v>23</v>
      </c>
      <c r="O1073" s="13" t="s">
        <v>24</v>
      </c>
      <c r="P1073" s="13">
        <v>90</v>
      </c>
      <c r="Q1073" s="13">
        <v>95</v>
      </c>
      <c r="R1073" s="13">
        <v>93</v>
      </c>
      <c r="S1073" s="42">
        <v>94861</v>
      </c>
    </row>
    <row r="1074" spans="11:19" x14ac:dyDescent="0.25">
      <c r="K1074" s="34" t="s">
        <v>34</v>
      </c>
      <c r="L1074" s="13" t="s">
        <v>35</v>
      </c>
      <c r="M1074" s="13" t="s">
        <v>36</v>
      </c>
      <c r="N1074" s="13" t="s">
        <v>37</v>
      </c>
      <c r="O1074" s="13" t="s">
        <v>24</v>
      </c>
      <c r="P1074" s="13">
        <v>47</v>
      </c>
      <c r="Q1074" s="13">
        <v>57</v>
      </c>
      <c r="R1074" s="13">
        <v>44</v>
      </c>
      <c r="S1074" s="44">
        <v>6855</v>
      </c>
    </row>
    <row r="1075" spans="11:19" x14ac:dyDescent="0.25">
      <c r="K1075" s="34" t="s">
        <v>34</v>
      </c>
      <c r="L1075" s="13" t="s">
        <v>27</v>
      </c>
      <c r="M1075" s="13" t="s">
        <v>28</v>
      </c>
      <c r="N1075" s="13" t="s">
        <v>23</v>
      </c>
      <c r="O1075" s="13" t="s">
        <v>24</v>
      </c>
      <c r="P1075" s="13">
        <v>76</v>
      </c>
      <c r="Q1075" s="13">
        <v>78</v>
      </c>
      <c r="R1075" s="31">
        <v>75</v>
      </c>
      <c r="S1075" s="42">
        <v>87797887</v>
      </c>
    </row>
    <row r="1076" spans="11:19" x14ac:dyDescent="0.25">
      <c r="K1076" s="34" t="s">
        <v>20</v>
      </c>
      <c r="L1076" s="13" t="s">
        <v>21</v>
      </c>
      <c r="M1076" s="13" t="s">
        <v>36</v>
      </c>
      <c r="N1076" s="13" t="s">
        <v>23</v>
      </c>
      <c r="O1076" s="13" t="s">
        <v>24</v>
      </c>
      <c r="P1076" s="13">
        <v>71</v>
      </c>
      <c r="Q1076" s="13">
        <v>83</v>
      </c>
      <c r="R1076" s="13">
        <v>78</v>
      </c>
      <c r="S1076" s="45">
        <v>8</v>
      </c>
    </row>
    <row r="1077" spans="11:19" x14ac:dyDescent="0.25">
      <c r="K1077" s="34" t="s">
        <v>20</v>
      </c>
      <c r="L1077" s="13" t="s">
        <v>21</v>
      </c>
      <c r="M1077" s="13" t="s">
        <v>28</v>
      </c>
      <c r="N1077" s="13" t="s">
        <v>23</v>
      </c>
      <c r="O1077" s="13" t="s">
        <v>29</v>
      </c>
      <c r="P1077" s="13">
        <v>88</v>
      </c>
      <c r="Q1077" s="13">
        <v>95</v>
      </c>
      <c r="R1077" s="13">
        <v>92</v>
      </c>
      <c r="S1077" s="42">
        <v>98083152</v>
      </c>
    </row>
    <row r="1078" spans="11:19" x14ac:dyDescent="0.25">
      <c r="K1078" s="34" t="s">
        <v>34</v>
      </c>
      <c r="L1078" s="13" t="s">
        <v>21</v>
      </c>
      <c r="M1078" s="13" t="s">
        <v>28</v>
      </c>
      <c r="N1078" s="13" t="s">
        <v>37</v>
      </c>
      <c r="O1078" s="13" t="s">
        <v>24</v>
      </c>
      <c r="P1078" s="13">
        <v>40</v>
      </c>
      <c r="Q1078" s="13">
        <v>43</v>
      </c>
      <c r="R1078" s="13">
        <v>39</v>
      </c>
      <c r="S1078" s="46">
        <v>62455532</v>
      </c>
    </row>
    <row r="1079" spans="11:19" x14ac:dyDescent="0.25">
      <c r="K1079" s="39" t="s">
        <v>34</v>
      </c>
      <c r="L1079" s="40" t="s">
        <v>39</v>
      </c>
      <c r="M1079" s="40" t="s">
        <v>40</v>
      </c>
      <c r="N1079" s="40" t="s">
        <v>37</v>
      </c>
      <c r="O1079" s="40" t="s">
        <v>29</v>
      </c>
      <c r="P1079" s="40">
        <v>64</v>
      </c>
      <c r="Q1079" s="40">
        <v>64</v>
      </c>
      <c r="R1079" s="40">
        <v>67</v>
      </c>
      <c r="S1079" s="47">
        <v>8</v>
      </c>
    </row>
    <row r="1081" spans="11:19" x14ac:dyDescent="0.25">
      <c r="L1081" s="32" t="s">
        <v>147</v>
      </c>
    </row>
    <row r="1083" spans="11:19" x14ac:dyDescent="0.25">
      <c r="K1083" s="36" t="s">
        <v>0</v>
      </c>
      <c r="L1083" s="37" t="s">
        <v>1</v>
      </c>
      <c r="M1083" s="37" t="s">
        <v>2</v>
      </c>
      <c r="N1083" s="37" t="s">
        <v>3</v>
      </c>
      <c r="O1083" s="37" t="s">
        <v>4</v>
      </c>
      <c r="P1083" s="37" t="s">
        <v>5</v>
      </c>
      <c r="Q1083" s="37" t="s">
        <v>6</v>
      </c>
      <c r="R1083" s="38" t="s">
        <v>7</v>
      </c>
    </row>
    <row r="1084" spans="11:19" x14ac:dyDescent="0.25">
      <c r="K1084" s="33" t="s">
        <v>20</v>
      </c>
      <c r="L1084" s="29" t="s">
        <v>21</v>
      </c>
      <c r="M1084" s="13" t="s">
        <v>22</v>
      </c>
      <c r="N1084" s="13" t="s">
        <v>23</v>
      </c>
      <c r="O1084" s="13" t="s">
        <v>24</v>
      </c>
      <c r="P1084" s="29">
        <v>72</v>
      </c>
      <c r="Q1084" s="29">
        <v>72</v>
      </c>
      <c r="R1084" s="35">
        <v>74</v>
      </c>
    </row>
    <row r="1085" spans="11:19" x14ac:dyDescent="0.25">
      <c r="K1085" s="33" t="s">
        <v>20</v>
      </c>
      <c r="L1085" s="29" t="s">
        <v>27</v>
      </c>
      <c r="M1085" s="13" t="s">
        <v>28</v>
      </c>
      <c r="N1085" s="13" t="s">
        <v>23</v>
      </c>
      <c r="O1085" s="13" t="s">
        <v>29</v>
      </c>
      <c r="P1085" s="29">
        <v>69</v>
      </c>
      <c r="Q1085" s="29">
        <v>90</v>
      </c>
      <c r="R1085" s="35">
        <v>88</v>
      </c>
    </row>
    <row r="1086" spans="11:19" x14ac:dyDescent="0.25">
      <c r="K1086" s="33" t="s">
        <v>20</v>
      </c>
      <c r="L1086" s="29" t="s">
        <v>21</v>
      </c>
      <c r="M1086" s="13" t="s">
        <v>32</v>
      </c>
      <c r="N1086" s="13" t="s">
        <v>23</v>
      </c>
      <c r="O1086" s="13" t="s">
        <v>24</v>
      </c>
      <c r="P1086" s="29">
        <v>90</v>
      </c>
      <c r="Q1086" s="29">
        <v>95</v>
      </c>
      <c r="R1086" s="35">
        <v>93</v>
      </c>
    </row>
    <row r="1087" spans="11:19" x14ac:dyDescent="0.25">
      <c r="K1087" s="33" t="s">
        <v>34</v>
      </c>
      <c r="L1087" s="29" t="s">
        <v>35</v>
      </c>
      <c r="M1087" s="13" t="s">
        <v>36</v>
      </c>
      <c r="N1087" s="13" t="s">
        <v>37</v>
      </c>
      <c r="O1087" s="13" t="s">
        <v>24</v>
      </c>
      <c r="P1087" s="29">
        <v>47</v>
      </c>
      <c r="Q1087" s="29">
        <v>57</v>
      </c>
      <c r="R1087" s="35">
        <v>44</v>
      </c>
    </row>
    <row r="1088" spans="11:19" x14ac:dyDescent="0.25">
      <c r="K1088" s="33" t="s">
        <v>34</v>
      </c>
      <c r="L1088" s="29" t="s">
        <v>27</v>
      </c>
      <c r="M1088" s="13" t="s">
        <v>28</v>
      </c>
      <c r="N1088" s="13" t="s">
        <v>23</v>
      </c>
      <c r="O1088" s="13" t="s">
        <v>24</v>
      </c>
      <c r="P1088" s="29">
        <v>76</v>
      </c>
      <c r="Q1088" s="29">
        <v>78</v>
      </c>
      <c r="R1088" s="35">
        <v>75</v>
      </c>
    </row>
    <row r="1089" spans="11:18" x14ac:dyDescent="0.25">
      <c r="K1089" s="33" t="s">
        <v>20</v>
      </c>
      <c r="L1089" s="29" t="s">
        <v>21</v>
      </c>
      <c r="M1089" s="13" t="s">
        <v>36</v>
      </c>
      <c r="N1089" s="13" t="s">
        <v>23</v>
      </c>
      <c r="O1089" s="13" t="s">
        <v>24</v>
      </c>
      <c r="P1089" s="29">
        <v>71</v>
      </c>
      <c r="Q1089" s="29">
        <v>83</v>
      </c>
      <c r="R1089" s="35">
        <v>78</v>
      </c>
    </row>
    <row r="1090" spans="11:18" x14ac:dyDescent="0.25">
      <c r="K1090" s="33" t="s">
        <v>20</v>
      </c>
      <c r="L1090" s="29" t="s">
        <v>21</v>
      </c>
      <c r="M1090" s="13" t="s">
        <v>28</v>
      </c>
      <c r="N1090" s="13" t="s">
        <v>23</v>
      </c>
      <c r="O1090" s="13" t="s">
        <v>29</v>
      </c>
      <c r="P1090" s="29">
        <v>88</v>
      </c>
      <c r="Q1090" s="29">
        <v>95</v>
      </c>
      <c r="R1090" s="35">
        <v>92</v>
      </c>
    </row>
    <row r="1091" spans="11:18" x14ac:dyDescent="0.25">
      <c r="K1091" s="33" t="s">
        <v>34</v>
      </c>
      <c r="L1091" s="29" t="s">
        <v>21</v>
      </c>
      <c r="M1091" s="13" t="s">
        <v>28</v>
      </c>
      <c r="N1091" s="13" t="s">
        <v>37</v>
      </c>
      <c r="O1091" s="13" t="s">
        <v>24</v>
      </c>
      <c r="P1091" s="29">
        <v>40</v>
      </c>
      <c r="Q1091" s="29">
        <v>43</v>
      </c>
      <c r="R1091" s="35">
        <v>39</v>
      </c>
    </row>
    <row r="1092" spans="11:18" x14ac:dyDescent="0.25">
      <c r="K1092" s="33" t="s">
        <v>34</v>
      </c>
      <c r="L1092" s="29" t="s">
        <v>35</v>
      </c>
      <c r="M1092" s="13" t="s">
        <v>40</v>
      </c>
      <c r="N1092" s="13" t="s">
        <v>37</v>
      </c>
      <c r="O1092" s="13" t="s">
        <v>29</v>
      </c>
      <c r="P1092" s="29">
        <v>64</v>
      </c>
      <c r="Q1092" s="29">
        <v>64</v>
      </c>
      <c r="R1092" s="35">
        <v>67</v>
      </c>
    </row>
    <row r="1093" spans="11:18" x14ac:dyDescent="0.25">
      <c r="K1093" s="33" t="s">
        <v>20</v>
      </c>
      <c r="L1093" s="29" t="s">
        <v>21</v>
      </c>
      <c r="M1093" s="13" t="s">
        <v>40</v>
      </c>
      <c r="N1093" s="13" t="s">
        <v>37</v>
      </c>
      <c r="O1093" s="13" t="s">
        <v>24</v>
      </c>
      <c r="P1093" s="29">
        <v>38</v>
      </c>
      <c r="Q1093" s="29">
        <v>60</v>
      </c>
      <c r="R1093" s="35">
        <v>50</v>
      </c>
    </row>
    <row r="1094" spans="11:18" x14ac:dyDescent="0.25">
      <c r="K1094" s="48" t="s">
        <v>34</v>
      </c>
      <c r="L1094" s="49" t="s">
        <v>27</v>
      </c>
      <c r="M1094" s="40" t="s">
        <v>36</v>
      </c>
      <c r="N1094" s="40" t="s">
        <v>23</v>
      </c>
      <c r="O1094" s="40" t="s">
        <v>24</v>
      </c>
      <c r="P1094" s="49">
        <v>58</v>
      </c>
      <c r="Q1094" s="49">
        <v>54</v>
      </c>
      <c r="R1094" s="50">
        <v>52</v>
      </c>
    </row>
    <row r="1098" spans="11:18" x14ac:dyDescent="0.25">
      <c r="N1098" s="51" t="s">
        <v>148</v>
      </c>
      <c r="Q1098">
        <v>60</v>
      </c>
    </row>
    <row r="1100" spans="11:18" x14ac:dyDescent="0.25">
      <c r="K1100" s="29" t="s">
        <v>0</v>
      </c>
      <c r="L1100" s="29" t="s">
        <v>1</v>
      </c>
      <c r="M1100" s="29" t="s">
        <v>2</v>
      </c>
      <c r="N1100" s="29" t="s">
        <v>3</v>
      </c>
      <c r="O1100" s="29" t="s">
        <v>4</v>
      </c>
      <c r="P1100" s="29" t="s">
        <v>5</v>
      </c>
      <c r="Q1100" s="29" t="s">
        <v>6</v>
      </c>
      <c r="R1100" s="29" t="s">
        <v>7</v>
      </c>
    </row>
    <row r="1101" spans="11:18" x14ac:dyDescent="0.25">
      <c r="K1101" s="13" t="s">
        <v>20</v>
      </c>
      <c r="L1101" s="13" t="s">
        <v>21</v>
      </c>
      <c r="M1101" s="13" t="s">
        <v>22</v>
      </c>
      <c r="N1101" s="13" t="s">
        <v>23</v>
      </c>
      <c r="O1101" s="13" t="s">
        <v>24</v>
      </c>
      <c r="P1101" s="13">
        <v>72</v>
      </c>
      <c r="Q1101" s="13">
        <v>72</v>
      </c>
      <c r="R1101" s="13">
        <v>74</v>
      </c>
    </row>
    <row r="1102" spans="11:18" x14ac:dyDescent="0.25">
      <c r="K1102" s="13" t="s">
        <v>20</v>
      </c>
      <c r="L1102" s="13" t="s">
        <v>27</v>
      </c>
      <c r="M1102" s="13" t="s">
        <v>28</v>
      </c>
      <c r="N1102" s="13" t="s">
        <v>23</v>
      </c>
      <c r="O1102" s="13" t="s">
        <v>29</v>
      </c>
      <c r="P1102" s="13">
        <v>69</v>
      </c>
      <c r="Q1102" s="13">
        <v>90</v>
      </c>
      <c r="R1102" s="13">
        <v>88</v>
      </c>
    </row>
    <row r="1103" spans="11:18" x14ac:dyDescent="0.25">
      <c r="K1103" s="13" t="s">
        <v>20</v>
      </c>
      <c r="L1103" s="13" t="s">
        <v>21</v>
      </c>
      <c r="M1103" s="13" t="s">
        <v>32</v>
      </c>
      <c r="N1103" s="13" t="s">
        <v>23</v>
      </c>
      <c r="O1103" s="13" t="s">
        <v>24</v>
      </c>
      <c r="P1103" s="13">
        <v>90</v>
      </c>
      <c r="Q1103" s="13">
        <v>95</v>
      </c>
      <c r="R1103" s="13">
        <v>93</v>
      </c>
    </row>
    <row r="1104" spans="11:18" x14ac:dyDescent="0.25">
      <c r="K1104" s="13" t="s">
        <v>34</v>
      </c>
      <c r="L1104" s="13" t="s">
        <v>35</v>
      </c>
      <c r="M1104" s="13" t="s">
        <v>36</v>
      </c>
      <c r="N1104" s="13" t="s">
        <v>37</v>
      </c>
      <c r="O1104" s="13" t="s">
        <v>24</v>
      </c>
      <c r="P1104" s="13">
        <v>47</v>
      </c>
      <c r="Q1104" s="13">
        <v>57</v>
      </c>
      <c r="R1104" s="13">
        <v>44</v>
      </c>
    </row>
    <row r="1105" spans="10:18" x14ac:dyDescent="0.25">
      <c r="K1105" s="13" t="s">
        <v>34</v>
      </c>
      <c r="L1105" s="13" t="s">
        <v>27</v>
      </c>
      <c r="M1105" s="13" t="s">
        <v>28</v>
      </c>
      <c r="N1105" s="13" t="s">
        <v>23</v>
      </c>
      <c r="O1105" s="13" t="s">
        <v>24</v>
      </c>
      <c r="P1105" s="13">
        <v>76</v>
      </c>
      <c r="Q1105" s="13">
        <v>78</v>
      </c>
      <c r="R1105" s="13">
        <v>75</v>
      </c>
    </row>
    <row r="1106" spans="10:18" x14ac:dyDescent="0.25">
      <c r="K1106" s="13" t="s">
        <v>20</v>
      </c>
      <c r="L1106" s="13" t="s">
        <v>21</v>
      </c>
      <c r="M1106" s="13" t="s">
        <v>36</v>
      </c>
      <c r="N1106" s="13" t="s">
        <v>23</v>
      </c>
      <c r="O1106" s="13" t="s">
        <v>24</v>
      </c>
      <c r="P1106" s="13">
        <v>71</v>
      </c>
      <c r="Q1106" s="13">
        <v>83</v>
      </c>
      <c r="R1106" s="13">
        <v>78</v>
      </c>
    </row>
    <row r="1107" spans="10:18" x14ac:dyDescent="0.25">
      <c r="K1107" s="13" t="s">
        <v>20</v>
      </c>
      <c r="L1107" s="13" t="s">
        <v>21</v>
      </c>
      <c r="M1107" s="13" t="s">
        <v>28</v>
      </c>
      <c r="N1107" s="13" t="s">
        <v>23</v>
      </c>
      <c r="O1107" s="13" t="s">
        <v>29</v>
      </c>
      <c r="P1107" s="13">
        <v>88</v>
      </c>
      <c r="Q1107" s="13">
        <v>95</v>
      </c>
      <c r="R1107" s="13">
        <v>92</v>
      </c>
    </row>
    <row r="1108" spans="10:18" x14ac:dyDescent="0.25">
      <c r="K1108" s="13" t="s">
        <v>34</v>
      </c>
      <c r="L1108" s="13" t="s">
        <v>21</v>
      </c>
      <c r="M1108" s="13" t="s">
        <v>28</v>
      </c>
      <c r="N1108" s="13" t="s">
        <v>37</v>
      </c>
      <c r="O1108" s="13" t="s">
        <v>24</v>
      </c>
      <c r="P1108" s="13">
        <v>40</v>
      </c>
      <c r="Q1108" s="13">
        <v>43</v>
      </c>
      <c r="R1108" s="13">
        <v>39</v>
      </c>
    </row>
    <row r="1109" spans="10:18" x14ac:dyDescent="0.25">
      <c r="K1109" s="13" t="s">
        <v>34</v>
      </c>
      <c r="L1109" s="13" t="s">
        <v>39</v>
      </c>
      <c r="M1109" s="13" t="s">
        <v>40</v>
      </c>
      <c r="N1109" s="13" t="s">
        <v>37</v>
      </c>
      <c r="O1109" s="13" t="s">
        <v>29</v>
      </c>
      <c r="P1109" s="13">
        <v>64</v>
      </c>
      <c r="Q1109" s="13">
        <v>64</v>
      </c>
      <c r="R1109" s="13">
        <v>67</v>
      </c>
    </row>
    <row r="1110" spans="10:18" x14ac:dyDescent="0.25">
      <c r="K1110" s="13" t="s">
        <v>20</v>
      </c>
      <c r="L1110" s="13" t="s">
        <v>21</v>
      </c>
      <c r="M1110" s="13" t="s">
        <v>40</v>
      </c>
      <c r="N1110" s="13" t="s">
        <v>37</v>
      </c>
      <c r="O1110" s="13" t="s">
        <v>24</v>
      </c>
      <c r="P1110" s="13">
        <v>38</v>
      </c>
      <c r="Q1110" s="13">
        <v>60</v>
      </c>
      <c r="R1110" s="13">
        <v>50</v>
      </c>
    </row>
    <row r="1111" spans="10:18" x14ac:dyDescent="0.25">
      <c r="K1111" s="13" t="s">
        <v>34</v>
      </c>
      <c r="L1111" s="13" t="s">
        <v>27</v>
      </c>
      <c r="M1111" s="13" t="s">
        <v>36</v>
      </c>
      <c r="N1111" s="13" t="s">
        <v>23</v>
      </c>
      <c r="O1111" s="13" t="s">
        <v>24</v>
      </c>
      <c r="P1111" s="13">
        <v>58</v>
      </c>
      <c r="Q1111" s="13">
        <v>54</v>
      </c>
      <c r="R1111" s="13">
        <v>52</v>
      </c>
    </row>
    <row r="1112" spans="10:18" x14ac:dyDescent="0.25">
      <c r="K1112" s="13" t="s">
        <v>34</v>
      </c>
      <c r="L1112" s="13" t="s">
        <v>39</v>
      </c>
      <c r="M1112" s="13" t="s">
        <v>36</v>
      </c>
      <c r="N1112" s="13" t="s">
        <v>23</v>
      </c>
      <c r="O1112" s="13" t="s">
        <v>24</v>
      </c>
      <c r="P1112" s="13">
        <v>40</v>
      </c>
      <c r="Q1112" s="13">
        <v>52</v>
      </c>
      <c r="R1112" s="13">
        <v>43</v>
      </c>
    </row>
    <row r="1113" spans="10:18" x14ac:dyDescent="0.25">
      <c r="K1113" s="13" t="s">
        <v>20</v>
      </c>
      <c r="L1113" s="13" t="s">
        <v>21</v>
      </c>
      <c r="M1113" s="13" t="s">
        <v>40</v>
      </c>
      <c r="N1113" s="13" t="s">
        <v>23</v>
      </c>
      <c r="O1113" s="13" t="s">
        <v>24</v>
      </c>
      <c r="P1113" s="13">
        <v>65</v>
      </c>
      <c r="Q1113" s="13">
        <v>81</v>
      </c>
      <c r="R1113" s="13">
        <v>73</v>
      </c>
    </row>
    <row r="1114" spans="10:18" x14ac:dyDescent="0.25">
      <c r="K1114" s="13" t="s">
        <v>34</v>
      </c>
      <c r="L1114" s="13" t="s">
        <v>35</v>
      </c>
      <c r="M1114" s="13" t="s">
        <v>28</v>
      </c>
      <c r="N1114" s="13" t="s">
        <v>23</v>
      </c>
      <c r="O1114" s="13" t="s">
        <v>29</v>
      </c>
      <c r="P1114" s="13">
        <v>78</v>
      </c>
      <c r="Q1114" s="13">
        <v>72</v>
      </c>
      <c r="R1114" s="13">
        <v>70</v>
      </c>
    </row>
    <row r="1120" spans="10:18" x14ac:dyDescent="0.25">
      <c r="J1120" s="52" t="s">
        <v>0</v>
      </c>
      <c r="K1120" s="52" t="s">
        <v>149</v>
      </c>
      <c r="L1120" t="s">
        <v>150</v>
      </c>
      <c r="P1120" s="52" t="s">
        <v>4</v>
      </c>
      <c r="Q1120" t="s">
        <v>151</v>
      </c>
    </row>
    <row r="1121" spans="10:17" x14ac:dyDescent="0.25">
      <c r="J1121" t="s">
        <v>20</v>
      </c>
      <c r="K1121" s="53">
        <v>7</v>
      </c>
      <c r="L1121" s="53">
        <v>493</v>
      </c>
      <c r="P1121" t="s">
        <v>29</v>
      </c>
      <c r="Q1121" s="53">
        <v>4</v>
      </c>
    </row>
    <row r="1122" spans="10:17" x14ac:dyDescent="0.25">
      <c r="J1122" t="s">
        <v>34</v>
      </c>
      <c r="K1122" s="53">
        <v>7</v>
      </c>
      <c r="L1122" s="53">
        <v>403</v>
      </c>
      <c r="P1122" t="s">
        <v>24</v>
      </c>
      <c r="Q1122" s="53">
        <v>10</v>
      </c>
    </row>
    <row r="1155" spans="11:11" x14ac:dyDescent="0.25">
      <c r="K1155" s="54"/>
    </row>
    <row r="1156" spans="11:11" x14ac:dyDescent="0.25">
      <c r="K1156" s="54"/>
    </row>
    <row r="1157" spans="11:11" x14ac:dyDescent="0.25">
      <c r="K1157" s="54"/>
    </row>
    <row r="1158" spans="11:11" x14ac:dyDescent="0.25">
      <c r="K1158" s="54"/>
    </row>
    <row r="1159" spans="11:11" x14ac:dyDescent="0.25">
      <c r="K1159" s="54"/>
    </row>
  </sheetData>
  <phoneticPr fontId="19" type="noConversion"/>
  <conditionalFormatting sqref="K1084:K1094">
    <cfRule type="containsText" dxfId="14" priority="1" operator="containsText" text="female">
      <formula>NOT(ISERROR(SEARCH("female",K1084)))</formula>
    </cfRule>
    <cfRule type="containsText" dxfId="13" priority="2" operator="containsText" text="female">
      <formula>NOT(ISERROR(SEARCH("female",K1084)))</formula>
    </cfRule>
    <cfRule type="containsText" dxfId="12" priority="3" operator="containsText" text="male">
      <formula>NOT(ISERROR(SEARCH("male",K1084)))</formula>
    </cfRule>
    <cfRule type="containsText" dxfId="11" priority="4" operator="containsText" text="female">
      <formula>NOT(ISERROR(SEARCH("female",K1084)))</formula>
    </cfRule>
    <cfRule type="cellIs" dxfId="10" priority="11" operator="equal">
      <formula>"male"</formula>
    </cfRule>
  </conditionalFormatting>
  <conditionalFormatting sqref="L1084:L1094">
    <cfRule type="containsText" dxfId="9" priority="5" operator="containsText" text="group C">
      <formula>NOT(ISERROR(SEARCH("group C",L1084)))</formula>
    </cfRule>
    <cfRule type="containsText" dxfId="8" priority="6" operator="containsText" text="group B">
      <formula>NOT(ISERROR(SEARCH("group B",L1084)))</formula>
    </cfRule>
    <cfRule type="containsText" dxfId="7" priority="7" operator="containsText" text="group A">
      <formula>NOT(ISERROR(SEARCH("group A",L1084)))</formula>
    </cfRule>
    <cfRule type="containsText" dxfId="6" priority="8" operator="containsText" text="group C">
      <formula>NOT(ISERROR(SEARCH("group C",L1084)))</formula>
    </cfRule>
    <cfRule type="containsText" dxfId="5" priority="9" operator="containsText" text="group B">
      <formula>NOT(ISERROR(SEARCH("group B",L1084)))</formula>
    </cfRule>
    <cfRule type="iconSet" priority="10">
      <iconSet iconSet="3Arrows">
        <cfvo type="percent" val="0"/>
        <cfvo type="percent" val="33"/>
        <cfvo type="percent" val="67"/>
      </iconSet>
    </cfRule>
  </conditionalFormatting>
  <conditionalFormatting sqref="O1083:O1094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{43641B18-5618-43A7-A3C9-FA686B3617B7}</x14:id>
        </ext>
      </extLst>
    </cfRule>
  </conditionalFormatting>
  <conditionalFormatting sqref="P1084:P1094">
    <cfRule type="top10" dxfId="4" priority="13" stopIfTrue="1" rank="5"/>
    <cfRule type="cellIs" dxfId="3" priority="14" stopIfTrue="1" operator="lessThan">
      <formula>$Q$1098</formula>
    </cfRule>
  </conditionalFormatting>
  <conditionalFormatting sqref="Q1084:Q1094">
    <cfRule type="cellIs" dxfId="2" priority="15" operator="greaterThan">
      <formula>$Q$1098</formula>
    </cfRule>
    <cfRule type="cellIs" dxfId="1" priority="16" operator="greaterThan">
      <formula>"69$Q$1098"</formula>
    </cfRule>
  </conditionalFormatting>
  <conditionalFormatting sqref="R1084"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R1084:R1094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{E9D9C53C-282F-475B-BF37-1C9AB1404665}</x14:id>
        </ext>
      </extLst>
    </cfRule>
    <cfRule type="iconSet" priority="18">
      <iconSet iconSet="3Arrows">
        <cfvo type="percent" val="0"/>
        <cfvo type="percent" val="33"/>
        <cfvo type="percent" val="67"/>
      </iconSet>
    </cfRule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  <cfRule type="top10" dxfId="0" priority="21" rank="5"/>
  </conditionalFormatting>
  <pageMargins left="0.7" right="0.7" top="0.75" bottom="0.75" header="0.3" footer="0.3"/>
  <pageSetup orientation="portrait" r:id="rId3"/>
  <drawing r:id="rId4"/>
  <tableParts count="19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641B18-5618-43A7-A3C9-FA686B3617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O1083:O1094</xm:sqref>
        </x14:conditionalFormatting>
        <x14:conditionalFormatting xmlns:xm="http://schemas.microsoft.com/office/excel/2006/main">
          <x14:cfRule type="dataBar" id="{E9D9C53C-282F-475B-BF37-1C9AB14046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R1084:R1094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StudentsPerformance_excel_tasks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2026-06-01T11:13:44Z</dcterms:created>
  <dcterms:modified xsi:type="dcterms:W3CDTF">2026-06-04T11:23:06Z</dcterms:modified>
</cp:coreProperties>
</file>