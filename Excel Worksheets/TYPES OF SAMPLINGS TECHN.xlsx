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TS\Downloads\"/>
    </mc:Choice>
  </mc:AlternateContent>
  <xr:revisionPtr revIDLastSave="0" documentId="13_ncr:1_{4BE9D77E-DDCC-40E2-A74E-47E0DE2D4D2D}" xr6:coauthVersionLast="47" xr6:coauthVersionMax="47" xr10:uidLastSave="{00000000-0000-0000-0000-000000000000}"/>
  <bookViews>
    <workbookView xWindow="-120" yWindow="-120" windowWidth="29040" windowHeight="15720" xr2:uid="{50E4A0BF-8E42-4272-87C3-5D4C427D859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1" l="1"/>
  <c r="B47" i="1"/>
  <c r="B50" i="1" s="1"/>
  <c r="J79" i="1"/>
  <c r="I79" i="1"/>
  <c r="J76" i="1"/>
  <c r="I76" i="1"/>
  <c r="H40" i="1"/>
  <c r="J28" i="1"/>
  <c r="J24" i="1"/>
  <c r="J18" i="1"/>
  <c r="J15" i="1"/>
  <c r="M3" i="1"/>
  <c r="J4" i="1"/>
  <c r="J5" i="1"/>
  <c r="M4" i="1"/>
  <c r="J6" i="1"/>
  <c r="J7" i="1"/>
  <c r="J8" i="1"/>
  <c r="I8" i="1"/>
  <c r="I7" i="1"/>
  <c r="I6" i="1"/>
  <c r="I5" i="1"/>
  <c r="I4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  <c r="M8" i="1"/>
  <c r="M7" i="1"/>
  <c r="M6" i="1"/>
  <c r="M5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</calcChain>
</file>

<file path=xl/sharedStrings.xml><?xml version="1.0" encoding="utf-8"?>
<sst xmlns="http://schemas.openxmlformats.org/spreadsheetml/2006/main" count="181" uniqueCount="71">
  <si>
    <t>ST_ID</t>
  </si>
  <si>
    <t>Student_Name</t>
  </si>
  <si>
    <t>Department</t>
  </si>
  <si>
    <t>Rahul Sharma</t>
  </si>
  <si>
    <t>Engineering</t>
  </si>
  <si>
    <t>Priya Reddy</t>
  </si>
  <si>
    <t>Science</t>
  </si>
  <si>
    <t>Arjun Kumar</t>
  </si>
  <si>
    <t>Arts</t>
  </si>
  <si>
    <t>Sneha Patel</t>
  </si>
  <si>
    <t>Commerce</t>
  </si>
  <si>
    <t>Kiran Verma</t>
  </si>
  <si>
    <t>Management</t>
  </si>
  <si>
    <t>Anjali Singh</t>
  </si>
  <si>
    <t>Rohit Gupta</t>
  </si>
  <si>
    <t>Pooja Nair</t>
  </si>
  <si>
    <t>Akash Jain</t>
  </si>
  <si>
    <t>Neha Das</t>
  </si>
  <si>
    <t>Vivek Rao</t>
  </si>
  <si>
    <t>Kavya Iyer</t>
  </si>
  <si>
    <t>Manish Yadav</t>
  </si>
  <si>
    <t>Divya Sharma</t>
  </si>
  <si>
    <t>Nitin Kumar</t>
  </si>
  <si>
    <t>Riya Gupta</t>
  </si>
  <si>
    <t>Sandeep Reddy</t>
  </si>
  <si>
    <t>Meera Joshi</t>
  </si>
  <si>
    <t>Harish Patel</t>
  </si>
  <si>
    <t>Asha Nair</t>
  </si>
  <si>
    <t>Tarun Singh</t>
  </si>
  <si>
    <t>Lakshmi Rao</t>
  </si>
  <si>
    <t>Varun Gupta</t>
  </si>
  <si>
    <t>Swathi Reddy</t>
  </si>
  <si>
    <t>Deepak Jain</t>
  </si>
  <si>
    <t>Nikhil Sharma</t>
  </si>
  <si>
    <t>Bhavana Das</t>
  </si>
  <si>
    <t>Mohan Kumar</t>
  </si>
  <si>
    <t>Keerthi Patel</t>
  </si>
  <si>
    <t>Gopal Verma</t>
  </si>
  <si>
    <t>RANDOM</t>
  </si>
  <si>
    <t>SYSTEMATIC</t>
  </si>
  <si>
    <t>SELECT STUDENTS</t>
  </si>
  <si>
    <t>PICK SAMPLES</t>
  </si>
  <si>
    <t>CLUSTERING</t>
  </si>
  <si>
    <t>ARTS</t>
  </si>
  <si>
    <t>ENGENEERING</t>
  </si>
  <si>
    <t>SCIENCE</t>
  </si>
  <si>
    <t>COMMERCE</t>
  </si>
  <si>
    <t>MANAGEMENT</t>
  </si>
  <si>
    <t>STRATIFIED SAMPLING</t>
  </si>
  <si>
    <t>Trail N0</t>
  </si>
  <si>
    <t>Result</t>
  </si>
  <si>
    <t>count of heads</t>
  </si>
  <si>
    <t>count of tails</t>
  </si>
  <si>
    <t>Head</t>
  </si>
  <si>
    <t>Tail</t>
  </si>
  <si>
    <t>Probability of Head</t>
  </si>
  <si>
    <t>Probabilit of Tail</t>
  </si>
  <si>
    <t>Trail</t>
  </si>
  <si>
    <t>Roll</t>
  </si>
  <si>
    <t>count of getting 6</t>
  </si>
  <si>
    <t>gender</t>
  </si>
  <si>
    <t>Cricket</t>
  </si>
  <si>
    <t>Female</t>
  </si>
  <si>
    <t>Male</t>
  </si>
  <si>
    <t>Yes</t>
  </si>
  <si>
    <t>No</t>
  </si>
  <si>
    <t>Males Play Cricket</t>
  </si>
  <si>
    <t>Percentage</t>
  </si>
  <si>
    <t>Male and Yes Count</t>
  </si>
  <si>
    <t>count rollS&lt;=3</t>
  </si>
  <si>
    <t>CUMMULATIVE PROBABILITY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</si>
</sst>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0" borderId="0" xfId="0" applyFont="1" applyAlignment="1">
      <alignment vertical="center" wrapText="1"/>
    </xf>
    <xf numFmtId="0" fontId="1" fillId="0" borderId="0" xfId="0" applyFont="1"/>
    <xf numFmtId="0" fontId="0" fillId="0" borderId="0" xfId="0" applyAlignment="1">
      <alignment horizontal="center"/>
    </xf>
    <xf numFmtId="0" fontId="1" fillId="0" borderId="2" xfId="0" applyFont="1" applyBorder="1"/>
    <xf numFmtId="0" fontId="0" fillId="0" borderId="3" xfId="0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2" xfId="0" applyBorder="1"/>
    <xf numFmtId="0" fontId="1" fillId="0" borderId="4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2" fillId="0" borderId="12" xfId="0" applyFont="1" applyBorder="1" applyAlignment="1">
      <alignment vertical="center" wrapText="1"/>
    </xf>
    <xf numFmtId="0" fontId="0" fillId="0" borderId="13" xfId="0" applyBorder="1" applyAlignment="1">
      <alignment horizontal="center"/>
    </xf>
    <xf numFmtId="0" fontId="2" fillId="0" borderId="14" xfId="0" applyFont="1" applyBorder="1" applyAlignment="1">
      <alignment vertical="center" wrapText="1"/>
    </xf>
    <xf numFmtId="0" fontId="0" fillId="0" borderId="15" xfId="0" applyBorder="1" applyAlignment="1">
      <alignment horizontal="center"/>
    </xf>
    <xf numFmtId="0" fontId="0" fillId="0" borderId="16" xfId="0" applyBorder="1"/>
    <xf numFmtId="0" fontId="2" fillId="0" borderId="17" xfId="0" applyFont="1" applyBorder="1" applyAlignment="1">
      <alignment vertical="center" wrapText="1"/>
    </xf>
    <xf numFmtId="0" fontId="0" fillId="0" borderId="12" xfId="0" applyBorder="1"/>
    <xf numFmtId="0" fontId="0" fillId="0" borderId="14" xfId="0" applyBorder="1"/>
    <xf numFmtId="0" fontId="0" fillId="0" borderId="17" xfId="0" applyBorder="1"/>
    <xf numFmtId="0" fontId="1" fillId="0" borderId="7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0" fillId="0" borderId="1" xfId="0" applyBorder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946D0-AB4E-49B8-A6EE-42C7A936D47B}">
  <dimension ref="A1:O139"/>
  <sheetViews>
    <sheetView tabSelected="1" topLeftCell="A32" zoomScaleNormal="100" workbookViewId="0">
      <selection activeCell="B52" sqref="B52"/>
    </sheetView>
  </sheetViews>
  <sheetFormatPr defaultRowHeight="15" x14ac:dyDescent="0.25"/>
  <cols>
    <col min="1" max="1" width="23.140625" customWidth="1"/>
    <col min="2" max="2" width="37" customWidth="1"/>
    <col min="3" max="3" width="26.28515625" customWidth="1"/>
    <col min="4" max="4" width="1.140625" customWidth="1"/>
    <col min="5" max="5" width="21.85546875" customWidth="1"/>
    <col min="6" max="6" width="28.42578125" customWidth="1"/>
    <col min="7" max="7" width="1.5703125" customWidth="1"/>
    <col min="8" max="8" width="21.5703125" bestFit="1" customWidth="1"/>
    <col min="9" max="9" width="21.140625" bestFit="1" customWidth="1"/>
    <col min="10" max="10" width="23.140625" customWidth="1"/>
    <col min="11" max="11" width="2.140625" customWidth="1"/>
    <col min="12" max="12" width="16.28515625" customWidth="1"/>
    <col min="13" max="13" width="17.7109375" customWidth="1"/>
    <col min="14" max="14" width="14.140625" customWidth="1"/>
  </cols>
  <sheetData>
    <row r="1" spans="1:15" ht="15.75" thickBot="1" x14ac:dyDescent="0.3">
      <c r="A1" s="27" t="s">
        <v>0</v>
      </c>
      <c r="B1" s="27" t="s">
        <v>1</v>
      </c>
      <c r="C1" s="27" t="s">
        <v>2</v>
      </c>
      <c r="E1" s="24" t="s">
        <v>38</v>
      </c>
      <c r="F1" s="4" t="s">
        <v>39</v>
      </c>
      <c r="G1" s="2"/>
      <c r="H1" s="7"/>
      <c r="I1" s="6" t="s">
        <v>48</v>
      </c>
      <c r="J1" s="5"/>
      <c r="K1" s="3"/>
      <c r="L1" s="8" t="s">
        <v>42</v>
      </c>
      <c r="M1" s="9"/>
      <c r="O1" s="2"/>
    </row>
    <row r="2" spans="1:15" ht="15.75" thickBot="1" x14ac:dyDescent="0.3">
      <c r="A2" s="28">
        <v>101</v>
      </c>
      <c r="B2" s="28" t="s">
        <v>3</v>
      </c>
      <c r="C2" s="28" t="s">
        <v>4</v>
      </c>
      <c r="E2" s="25">
        <v>4.4337290101798765E-2</v>
      </c>
      <c r="F2" s="2" t="s">
        <v>40</v>
      </c>
      <c r="G2" s="2"/>
      <c r="H2" s="2"/>
      <c r="I2" s="2"/>
      <c r="J2" s="2" t="s">
        <v>41</v>
      </c>
      <c r="K2" s="2"/>
      <c r="L2" s="10" t="s">
        <v>38</v>
      </c>
      <c r="M2" s="2" t="s">
        <v>42</v>
      </c>
    </row>
    <row r="3" spans="1:15" x14ac:dyDescent="0.25">
      <c r="A3" s="28">
        <v>102</v>
      </c>
      <c r="B3" s="28" t="s">
        <v>5</v>
      </c>
      <c r="C3" s="28" t="s">
        <v>4</v>
      </c>
      <c r="E3" s="25">
        <v>0.11966286649576285</v>
      </c>
      <c r="F3" s="29" t="str">
        <f t="shared" ref="F3:F31" si="0">IF(MOD(A4-4,10)=0,"SELECTED","NOT SELECTED")</f>
        <v>NOT SELECTED</v>
      </c>
      <c r="H3" s="13"/>
      <c r="I3" s="14"/>
      <c r="J3" s="15"/>
      <c r="K3" s="1"/>
      <c r="L3" s="11">
        <v>0.73519659461536979</v>
      </c>
      <c r="M3" s="21">
        <f t="shared" ref="M3:M32" si="1">INT(A2-1)/6+1</f>
        <v>17.666666666666668</v>
      </c>
    </row>
    <row r="4" spans="1:15" x14ac:dyDescent="0.25">
      <c r="A4" s="28">
        <v>103</v>
      </c>
      <c r="B4" s="28" t="s">
        <v>7</v>
      </c>
      <c r="C4" s="28" t="s">
        <v>4</v>
      </c>
      <c r="E4" s="25">
        <v>0.14074533346101803</v>
      </c>
      <c r="F4" s="30" t="str">
        <f t="shared" si="0"/>
        <v>SELECTED</v>
      </c>
      <c r="H4" s="16" t="s">
        <v>43</v>
      </c>
      <c r="I4">
        <f>COUNTIF(C20:C25,"ARTS")</f>
        <v>6</v>
      </c>
      <c r="J4" s="17">
        <f>6/30*10</f>
        <v>2</v>
      </c>
      <c r="K4" s="1"/>
      <c r="L4" s="11">
        <v>0.10685402128689248</v>
      </c>
      <c r="M4" s="22">
        <f t="shared" si="1"/>
        <v>17.833333333333332</v>
      </c>
    </row>
    <row r="5" spans="1:15" x14ac:dyDescent="0.25">
      <c r="A5" s="28">
        <v>104</v>
      </c>
      <c r="B5" s="28" t="s">
        <v>9</v>
      </c>
      <c r="C5" s="28" t="s">
        <v>4</v>
      </c>
      <c r="E5" s="25">
        <v>0.24172856704147894</v>
      </c>
      <c r="F5" s="30" t="str">
        <f t="shared" si="0"/>
        <v>NOT SELECTED</v>
      </c>
      <c r="H5" s="16" t="s">
        <v>44</v>
      </c>
      <c r="I5">
        <f>COUNTIF(C2:C11,"ENGINEERING")</f>
        <v>10</v>
      </c>
      <c r="J5" s="17">
        <f>10/30*10</f>
        <v>3.333333333333333</v>
      </c>
      <c r="K5" s="1"/>
      <c r="L5" s="11">
        <v>0.57864293112994092</v>
      </c>
      <c r="M5" s="22">
        <f t="shared" si="1"/>
        <v>18</v>
      </c>
    </row>
    <row r="6" spans="1:15" x14ac:dyDescent="0.25">
      <c r="A6" s="28">
        <v>105</v>
      </c>
      <c r="B6" s="28" t="s">
        <v>11</v>
      </c>
      <c r="C6" s="28" t="s">
        <v>4</v>
      </c>
      <c r="E6" s="25">
        <v>0.27532774599276177</v>
      </c>
      <c r="F6" s="30" t="str">
        <f t="shared" si="0"/>
        <v>NOT SELECTED</v>
      </c>
      <c r="H6" s="16" t="s">
        <v>45</v>
      </c>
      <c r="I6">
        <f>COUNTIF(C12:C19,"SCIENCE")</f>
        <v>8</v>
      </c>
      <c r="J6" s="17">
        <f>8/30*30</f>
        <v>8</v>
      </c>
      <c r="K6" s="1"/>
      <c r="L6" s="11">
        <v>0.2624389097210682</v>
      </c>
      <c r="M6" s="22">
        <f t="shared" si="1"/>
        <v>18.166666666666668</v>
      </c>
    </row>
    <row r="7" spans="1:15" x14ac:dyDescent="0.25">
      <c r="A7" s="28">
        <v>106</v>
      </c>
      <c r="B7" s="28" t="s">
        <v>13</v>
      </c>
      <c r="C7" s="28" t="s">
        <v>4</v>
      </c>
      <c r="E7" s="25">
        <v>0.30670573061637874</v>
      </c>
      <c r="F7" s="30" t="str">
        <f t="shared" si="0"/>
        <v>NOT SELECTED</v>
      </c>
      <c r="H7" s="16" t="s">
        <v>46</v>
      </c>
      <c r="I7">
        <f>COUNTIF(C26:C29,"COMMERCE")</f>
        <v>4</v>
      </c>
      <c r="J7" s="17">
        <f>4/30*2</f>
        <v>0.26666666666666666</v>
      </c>
      <c r="K7" s="1"/>
      <c r="L7" s="11">
        <v>0.96589811658663516</v>
      </c>
      <c r="M7" s="22">
        <f t="shared" si="1"/>
        <v>18.333333333333332</v>
      </c>
    </row>
    <row r="8" spans="1:15" ht="15.75" thickBot="1" x14ac:dyDescent="0.3">
      <c r="A8" s="28">
        <v>107</v>
      </c>
      <c r="B8" s="28" t="s">
        <v>14</v>
      </c>
      <c r="C8" s="28" t="s">
        <v>4</v>
      </c>
      <c r="E8" s="25">
        <v>0.3295975924641229</v>
      </c>
      <c r="F8" s="30" t="str">
        <f t="shared" si="0"/>
        <v>NOT SELECTED</v>
      </c>
      <c r="H8" s="18" t="s">
        <v>47</v>
      </c>
      <c r="I8" s="19">
        <f>COUNTIF(C30:C31,"MANAGEMENT")</f>
        <v>2</v>
      </c>
      <c r="J8" s="20">
        <f>2/30*80</f>
        <v>5.333333333333333</v>
      </c>
      <c r="K8" s="1"/>
      <c r="L8" s="11">
        <v>7.9365414188944272E-2</v>
      </c>
      <c r="M8" s="22">
        <f t="shared" si="1"/>
        <v>18.5</v>
      </c>
    </row>
    <row r="9" spans="1:15" x14ac:dyDescent="0.25">
      <c r="A9" s="28">
        <v>108</v>
      </c>
      <c r="B9" s="28" t="s">
        <v>15</v>
      </c>
      <c r="C9" s="28" t="s">
        <v>4</v>
      </c>
      <c r="E9" s="25">
        <v>0.3443062342214106</v>
      </c>
      <c r="F9" s="30" t="str">
        <f t="shared" si="0"/>
        <v>NOT SELECTED</v>
      </c>
      <c r="J9" s="1"/>
      <c r="K9" s="1"/>
      <c r="L9" s="11">
        <v>0.33417632867822422</v>
      </c>
      <c r="M9" s="22">
        <f t="shared" si="1"/>
        <v>18.666666666666668</v>
      </c>
    </row>
    <row r="10" spans="1:15" x14ac:dyDescent="0.25">
      <c r="A10" s="28">
        <v>109</v>
      </c>
      <c r="B10" s="28" t="s">
        <v>16</v>
      </c>
      <c r="C10" s="28" t="s">
        <v>4</v>
      </c>
      <c r="E10" s="25">
        <v>0.36370425947650831</v>
      </c>
      <c r="F10" s="30" t="str">
        <f t="shared" si="0"/>
        <v>NOT SELECTED</v>
      </c>
      <c r="H10" s="33" t="s">
        <v>49</v>
      </c>
      <c r="I10" s="34" t="s">
        <v>50</v>
      </c>
      <c r="J10" s="1"/>
      <c r="K10" s="1"/>
      <c r="L10" s="11">
        <v>0.83609833678616086</v>
      </c>
      <c r="M10" s="22">
        <f t="shared" si="1"/>
        <v>18.833333333333332</v>
      </c>
    </row>
    <row r="11" spans="1:15" x14ac:dyDescent="0.25">
      <c r="A11" s="28">
        <v>110</v>
      </c>
      <c r="B11" s="28" t="s">
        <v>17</v>
      </c>
      <c r="C11" s="28" t="s">
        <v>4</v>
      </c>
      <c r="E11" s="25">
        <v>0.40582967059763453</v>
      </c>
      <c r="F11" s="30" t="str">
        <f t="shared" si="0"/>
        <v>NOT SELECTED</v>
      </c>
      <c r="H11" s="32">
        <v>1</v>
      </c>
      <c r="I11" s="32" t="s">
        <v>53</v>
      </c>
      <c r="J11" s="1"/>
      <c r="K11" s="1"/>
      <c r="L11" s="11">
        <v>0.58301380852998297</v>
      </c>
      <c r="M11" s="22">
        <f t="shared" si="1"/>
        <v>19</v>
      </c>
    </row>
    <row r="12" spans="1:15" x14ac:dyDescent="0.25">
      <c r="A12" s="28">
        <v>111</v>
      </c>
      <c r="B12" s="28" t="s">
        <v>18</v>
      </c>
      <c r="C12" s="28" t="s">
        <v>6</v>
      </c>
      <c r="E12" s="25">
        <v>0.42229552894975098</v>
      </c>
      <c r="F12" s="30" t="str">
        <f t="shared" si="0"/>
        <v>NOT SELECTED</v>
      </c>
      <c r="H12" s="32">
        <v>2</v>
      </c>
      <c r="I12" s="32" t="s">
        <v>53</v>
      </c>
      <c r="J12" s="1"/>
      <c r="K12" s="1"/>
      <c r="L12" s="11">
        <v>0.39135107906091904</v>
      </c>
      <c r="M12" s="22">
        <f t="shared" si="1"/>
        <v>19.166666666666668</v>
      </c>
    </row>
    <row r="13" spans="1:15" x14ac:dyDescent="0.25">
      <c r="A13" s="28">
        <v>112</v>
      </c>
      <c r="B13" s="28" t="s">
        <v>19</v>
      </c>
      <c r="C13" s="28" t="s">
        <v>6</v>
      </c>
      <c r="E13" s="25">
        <v>0.42855327919382757</v>
      </c>
      <c r="F13" s="30" t="str">
        <f t="shared" si="0"/>
        <v>NOT SELECTED</v>
      </c>
      <c r="H13" s="32">
        <v>3</v>
      </c>
      <c r="I13" s="32" t="s">
        <v>53</v>
      </c>
      <c r="J13" s="1"/>
      <c r="K13" s="1"/>
      <c r="L13" s="11">
        <v>0.31019170711305999</v>
      </c>
      <c r="M13" s="22">
        <f t="shared" si="1"/>
        <v>19.333333333333332</v>
      </c>
    </row>
    <row r="14" spans="1:15" x14ac:dyDescent="0.25">
      <c r="A14" s="28">
        <v>113</v>
      </c>
      <c r="B14" s="28" t="s">
        <v>20</v>
      </c>
      <c r="C14" s="28" t="s">
        <v>6</v>
      </c>
      <c r="E14" s="25">
        <v>0.44478054229746455</v>
      </c>
      <c r="F14" s="30" t="str">
        <f t="shared" si="0"/>
        <v>SELECTED</v>
      </c>
      <c r="H14" s="32">
        <v>4</v>
      </c>
      <c r="I14" s="32" t="s">
        <v>53</v>
      </c>
      <c r="J14" s="36" t="s">
        <v>51</v>
      </c>
      <c r="K14" s="1"/>
      <c r="L14" s="11">
        <v>0.66302317345486994</v>
      </c>
      <c r="M14" s="22">
        <f t="shared" si="1"/>
        <v>19.5</v>
      </c>
    </row>
    <row r="15" spans="1:15" x14ac:dyDescent="0.25">
      <c r="A15" s="28">
        <v>114</v>
      </c>
      <c r="B15" s="28" t="s">
        <v>21</v>
      </c>
      <c r="C15" s="28" t="s">
        <v>6</v>
      </c>
      <c r="E15" s="25">
        <v>0.44758176554036888</v>
      </c>
      <c r="F15" s="30" t="str">
        <f t="shared" si="0"/>
        <v>NOT SELECTED</v>
      </c>
      <c r="H15" s="32">
        <v>5</v>
      </c>
      <c r="I15" s="32" t="s">
        <v>54</v>
      </c>
      <c r="J15" s="36">
        <f>COUNTIF(I11:I31,"Head")</f>
        <v>12</v>
      </c>
      <c r="K15" s="1"/>
      <c r="L15" s="11">
        <v>0.26864248445332328</v>
      </c>
      <c r="M15" s="22">
        <f t="shared" si="1"/>
        <v>19.666666666666668</v>
      </c>
    </row>
    <row r="16" spans="1:15" x14ac:dyDescent="0.25">
      <c r="A16" s="28">
        <v>115</v>
      </c>
      <c r="B16" s="28" t="s">
        <v>22</v>
      </c>
      <c r="C16" s="28" t="s">
        <v>6</v>
      </c>
      <c r="E16" s="25">
        <v>0.45236065516779378</v>
      </c>
      <c r="F16" s="30" t="str">
        <f t="shared" si="0"/>
        <v>NOT SELECTED</v>
      </c>
      <c r="H16" s="32">
        <v>6</v>
      </c>
      <c r="I16" s="32" t="s">
        <v>54</v>
      </c>
      <c r="J16" s="1"/>
      <c r="K16" s="1"/>
      <c r="L16" s="11">
        <v>0.31758651941786153</v>
      </c>
      <c r="M16" s="22">
        <f t="shared" si="1"/>
        <v>19.833333333333332</v>
      </c>
    </row>
    <row r="17" spans="1:13" x14ac:dyDescent="0.25">
      <c r="A17" s="28">
        <v>116</v>
      </c>
      <c r="B17" s="28" t="s">
        <v>23</v>
      </c>
      <c r="C17" s="28" t="s">
        <v>6</v>
      </c>
      <c r="E17" s="25">
        <v>0.48529670760959076</v>
      </c>
      <c r="F17" s="30" t="str">
        <f t="shared" si="0"/>
        <v>NOT SELECTED</v>
      </c>
      <c r="H17" s="32">
        <v>7</v>
      </c>
      <c r="I17" s="32" t="s">
        <v>53</v>
      </c>
      <c r="J17" s="36" t="s">
        <v>52</v>
      </c>
      <c r="K17" s="1"/>
      <c r="L17" s="11">
        <v>0.24291555953298816</v>
      </c>
      <c r="M17" s="22">
        <f t="shared" si="1"/>
        <v>20</v>
      </c>
    </row>
    <row r="18" spans="1:13" x14ac:dyDescent="0.25">
      <c r="A18" s="28">
        <v>117</v>
      </c>
      <c r="B18" s="28" t="s">
        <v>24</v>
      </c>
      <c r="C18" s="28" t="s">
        <v>6</v>
      </c>
      <c r="E18" s="25">
        <v>0.53468212042711905</v>
      </c>
      <c r="F18" s="30" t="str">
        <f t="shared" si="0"/>
        <v>NOT SELECTED</v>
      </c>
      <c r="H18" s="32">
        <v>8</v>
      </c>
      <c r="I18" s="32" t="s">
        <v>53</v>
      </c>
      <c r="J18" s="36">
        <f>COUNTIF(I11:I31,"Tail")</f>
        <v>9</v>
      </c>
      <c r="K18" s="1"/>
      <c r="L18" s="11">
        <v>0.62463272457674501</v>
      </c>
      <c r="M18" s="22">
        <f t="shared" si="1"/>
        <v>20.166666666666668</v>
      </c>
    </row>
    <row r="19" spans="1:13" x14ac:dyDescent="0.25">
      <c r="A19" s="28">
        <v>118</v>
      </c>
      <c r="B19" s="28" t="s">
        <v>25</v>
      </c>
      <c r="C19" s="28" t="s">
        <v>6</v>
      </c>
      <c r="E19" s="25">
        <v>0.5901000251919104</v>
      </c>
      <c r="F19" s="30" t="str">
        <f t="shared" si="0"/>
        <v>NOT SELECTED</v>
      </c>
      <c r="H19" s="32">
        <v>9</v>
      </c>
      <c r="I19" s="32" t="s">
        <v>53</v>
      </c>
      <c r="J19" s="1"/>
      <c r="K19" s="1"/>
      <c r="L19" s="11">
        <v>0.99337266620874998</v>
      </c>
      <c r="M19" s="22">
        <f t="shared" si="1"/>
        <v>20.333333333333332</v>
      </c>
    </row>
    <row r="20" spans="1:13" x14ac:dyDescent="0.25">
      <c r="A20" s="28">
        <v>119</v>
      </c>
      <c r="B20" s="28" t="s">
        <v>26</v>
      </c>
      <c r="C20" s="28" t="s">
        <v>8</v>
      </c>
      <c r="E20" s="25">
        <v>0.62848414156839438</v>
      </c>
      <c r="F20" s="30" t="str">
        <f t="shared" si="0"/>
        <v>NOT SELECTED</v>
      </c>
      <c r="H20" s="32">
        <v>10</v>
      </c>
      <c r="I20" s="32" t="s">
        <v>53</v>
      </c>
      <c r="J20" s="1"/>
      <c r="K20" s="1"/>
      <c r="L20" s="11">
        <v>0.99457926342999015</v>
      </c>
      <c r="M20" s="22">
        <f t="shared" si="1"/>
        <v>20.5</v>
      </c>
    </row>
    <row r="21" spans="1:13" x14ac:dyDescent="0.25">
      <c r="A21" s="28">
        <v>120</v>
      </c>
      <c r="B21" s="28" t="s">
        <v>27</v>
      </c>
      <c r="C21" s="28" t="s">
        <v>8</v>
      </c>
      <c r="E21" s="25">
        <v>0.63141531192809208</v>
      </c>
      <c r="F21" s="30" t="str">
        <f t="shared" si="0"/>
        <v>NOT SELECTED</v>
      </c>
      <c r="H21" s="32">
        <v>11</v>
      </c>
      <c r="I21" s="32" t="s">
        <v>53</v>
      </c>
      <c r="J21" s="1"/>
      <c r="K21" s="1"/>
      <c r="L21" s="11">
        <v>0.10041338976356906</v>
      </c>
      <c r="M21" s="22">
        <f t="shared" si="1"/>
        <v>20.666666666666668</v>
      </c>
    </row>
    <row r="22" spans="1:13" x14ac:dyDescent="0.25">
      <c r="A22" s="28">
        <v>121</v>
      </c>
      <c r="B22" s="28" t="s">
        <v>28</v>
      </c>
      <c r="C22" s="28" t="s">
        <v>8</v>
      </c>
      <c r="E22" s="25">
        <v>0.65477418366842555</v>
      </c>
      <c r="F22" s="30" t="str">
        <f t="shared" si="0"/>
        <v>NOT SELECTED</v>
      </c>
      <c r="H22" s="32">
        <v>12</v>
      </c>
      <c r="I22" s="32" t="s">
        <v>54</v>
      </c>
      <c r="J22" s="1"/>
      <c r="K22" s="1"/>
      <c r="L22" s="11">
        <v>0.28574829943862867</v>
      </c>
      <c r="M22" s="22">
        <f t="shared" si="1"/>
        <v>20.833333333333332</v>
      </c>
    </row>
    <row r="23" spans="1:13" x14ac:dyDescent="0.25">
      <c r="A23" s="28">
        <v>122</v>
      </c>
      <c r="B23" s="28" t="s">
        <v>29</v>
      </c>
      <c r="C23" s="28" t="s">
        <v>8</v>
      </c>
      <c r="E23" s="25">
        <v>0.75175579355854216</v>
      </c>
      <c r="F23" s="30" t="str">
        <f t="shared" si="0"/>
        <v>NOT SELECTED</v>
      </c>
      <c r="H23" s="32">
        <v>13</v>
      </c>
      <c r="I23" s="32" t="s">
        <v>53</v>
      </c>
      <c r="J23" s="36" t="s">
        <v>55</v>
      </c>
      <c r="K23" s="1"/>
      <c r="L23" s="11">
        <v>0.80592394123305611</v>
      </c>
      <c r="M23" s="22">
        <f t="shared" si="1"/>
        <v>21</v>
      </c>
    </row>
    <row r="24" spans="1:13" x14ac:dyDescent="0.25">
      <c r="A24" s="28">
        <v>123</v>
      </c>
      <c r="B24" s="28" t="s">
        <v>30</v>
      </c>
      <c r="C24" s="28" t="s">
        <v>8</v>
      </c>
      <c r="E24" s="25">
        <v>0.75781462892862206</v>
      </c>
      <c r="F24" s="30" t="str">
        <f t="shared" si="0"/>
        <v>SELECTED</v>
      </c>
      <c r="H24" s="32">
        <v>14</v>
      </c>
      <c r="I24" s="32" t="s">
        <v>54</v>
      </c>
      <c r="J24" s="35">
        <f>COUNTIF(I11:I31,"Head")/COUNTA(I11:I31)</f>
        <v>0.5714285714285714</v>
      </c>
      <c r="K24" s="1"/>
      <c r="L24" s="11">
        <v>0.39247886287997613</v>
      </c>
      <c r="M24" s="22">
        <f t="shared" si="1"/>
        <v>21.166666666666668</v>
      </c>
    </row>
    <row r="25" spans="1:13" x14ac:dyDescent="0.25">
      <c r="A25" s="28">
        <v>124</v>
      </c>
      <c r="B25" s="28" t="s">
        <v>31</v>
      </c>
      <c r="C25" s="28" t="s">
        <v>8</v>
      </c>
      <c r="E25" s="25">
        <v>0.82325707819028171</v>
      </c>
      <c r="F25" s="30" t="str">
        <f t="shared" si="0"/>
        <v>NOT SELECTED</v>
      </c>
      <c r="H25" s="32">
        <v>15</v>
      </c>
      <c r="I25" s="32" t="s">
        <v>54</v>
      </c>
      <c r="J25" s="1"/>
      <c r="K25" s="1"/>
      <c r="L25" s="11">
        <v>0.73873463581340071</v>
      </c>
      <c r="M25" s="22">
        <f t="shared" si="1"/>
        <v>21.333333333333332</v>
      </c>
    </row>
    <row r="26" spans="1:13" x14ac:dyDescent="0.25">
      <c r="A26" s="28">
        <v>125</v>
      </c>
      <c r="B26" s="28" t="s">
        <v>32</v>
      </c>
      <c r="C26" s="28" t="s">
        <v>10</v>
      </c>
      <c r="E26" s="25">
        <v>0.82884329508963572</v>
      </c>
      <c r="F26" s="30" t="str">
        <f t="shared" si="0"/>
        <v>NOT SELECTED</v>
      </c>
      <c r="H26" s="32">
        <v>16</v>
      </c>
      <c r="I26" s="32" t="s">
        <v>54</v>
      </c>
      <c r="J26" s="1"/>
      <c r="K26" s="1"/>
      <c r="L26" s="11">
        <v>0.96874530055172203</v>
      </c>
      <c r="M26" s="22">
        <f t="shared" si="1"/>
        <v>21.5</v>
      </c>
    </row>
    <row r="27" spans="1:13" x14ac:dyDescent="0.25">
      <c r="A27" s="28">
        <v>126</v>
      </c>
      <c r="B27" s="28" t="s">
        <v>33</v>
      </c>
      <c r="C27" s="28" t="s">
        <v>10</v>
      </c>
      <c r="E27" s="25">
        <v>0.87234007301305794</v>
      </c>
      <c r="F27" s="30" t="str">
        <f t="shared" si="0"/>
        <v>NOT SELECTED</v>
      </c>
      <c r="H27" s="32">
        <v>17</v>
      </c>
      <c r="I27" s="32" t="s">
        <v>54</v>
      </c>
      <c r="J27" s="36" t="s">
        <v>56</v>
      </c>
      <c r="K27" s="1"/>
      <c r="L27" s="11">
        <v>0.57130245855471895</v>
      </c>
      <c r="M27" s="22">
        <f t="shared" si="1"/>
        <v>21.666666666666668</v>
      </c>
    </row>
    <row r="28" spans="1:13" x14ac:dyDescent="0.25">
      <c r="A28" s="28">
        <v>127</v>
      </c>
      <c r="B28" s="28" t="s">
        <v>34</v>
      </c>
      <c r="C28" s="28" t="s">
        <v>10</v>
      </c>
      <c r="E28" s="25">
        <v>0.89165308029694712</v>
      </c>
      <c r="F28" s="30" t="str">
        <f t="shared" si="0"/>
        <v>NOT SELECTED</v>
      </c>
      <c r="H28" s="32">
        <v>18</v>
      </c>
      <c r="I28" s="32" t="s">
        <v>54</v>
      </c>
      <c r="J28" s="35">
        <f>COUNTIF(I11:I31,"Tail")/COUNTA(I11:I31)</f>
        <v>0.42857142857142855</v>
      </c>
      <c r="K28" s="1"/>
      <c r="L28" s="11">
        <v>0.84962687384330371</v>
      </c>
      <c r="M28" s="22">
        <f t="shared" si="1"/>
        <v>21.833333333333332</v>
      </c>
    </row>
    <row r="29" spans="1:13" x14ac:dyDescent="0.25">
      <c r="A29" s="28">
        <v>128</v>
      </c>
      <c r="B29" s="28" t="s">
        <v>35</v>
      </c>
      <c r="C29" s="28" t="s">
        <v>10</v>
      </c>
      <c r="E29" s="25">
        <v>0.94582715234744108</v>
      </c>
      <c r="F29" s="30" t="str">
        <f t="shared" si="0"/>
        <v>NOT SELECTED</v>
      </c>
      <c r="H29" s="32">
        <v>19</v>
      </c>
      <c r="I29" s="32" t="s">
        <v>54</v>
      </c>
      <c r="J29" s="1"/>
      <c r="K29" s="1"/>
      <c r="L29" s="11">
        <v>0.95344040076522907</v>
      </c>
      <c r="M29" s="22">
        <f t="shared" si="1"/>
        <v>22</v>
      </c>
    </row>
    <row r="30" spans="1:13" x14ac:dyDescent="0.25">
      <c r="A30" s="28">
        <v>129</v>
      </c>
      <c r="B30" s="28" t="s">
        <v>36</v>
      </c>
      <c r="C30" s="28" t="s">
        <v>12</v>
      </c>
      <c r="E30" s="25">
        <v>0.95643002426886203</v>
      </c>
      <c r="F30" s="30" t="str">
        <f t="shared" si="0"/>
        <v>NOT SELECTED</v>
      </c>
      <c r="H30" s="32">
        <v>20</v>
      </c>
      <c r="I30" s="32" t="s">
        <v>53</v>
      </c>
      <c r="J30" s="1"/>
      <c r="K30" s="1"/>
      <c r="L30" s="11">
        <v>0.6297374398552753</v>
      </c>
      <c r="M30" s="22">
        <f t="shared" si="1"/>
        <v>22.166666666666668</v>
      </c>
    </row>
    <row r="31" spans="1:13" ht="15.75" thickBot="1" x14ac:dyDescent="0.3">
      <c r="A31" s="28">
        <v>130</v>
      </c>
      <c r="B31" s="28" t="s">
        <v>37</v>
      </c>
      <c r="C31" s="28" t="s">
        <v>12</v>
      </c>
      <c r="E31" s="26">
        <v>0.97343323712997099</v>
      </c>
      <c r="F31" s="31" t="str">
        <f t="shared" si="0"/>
        <v>NOT SELECTED</v>
      </c>
      <c r="H31" s="32">
        <v>21</v>
      </c>
      <c r="I31" s="32" t="s">
        <v>53</v>
      </c>
      <c r="J31" s="1"/>
      <c r="K31" s="1"/>
      <c r="L31" s="11">
        <v>0.35352962872833882</v>
      </c>
      <c r="M31" s="22">
        <f t="shared" si="1"/>
        <v>22.333333333333332</v>
      </c>
    </row>
    <row r="32" spans="1:13" ht="15.75" thickBot="1" x14ac:dyDescent="0.3">
      <c r="F32" s="1"/>
      <c r="G32" s="1"/>
      <c r="H32" s="1"/>
      <c r="I32" s="1"/>
      <c r="J32" s="1"/>
      <c r="K32" s="1"/>
      <c r="L32" s="12"/>
      <c r="M32" s="23">
        <f t="shared" si="1"/>
        <v>22.5</v>
      </c>
    </row>
    <row r="39" spans="2:10" x14ac:dyDescent="0.25">
      <c r="E39" s="34" t="s">
        <v>57</v>
      </c>
      <c r="F39" s="34" t="s">
        <v>58</v>
      </c>
      <c r="H39" s="37" t="s">
        <v>59</v>
      </c>
      <c r="I39" s="34" t="s">
        <v>60</v>
      </c>
      <c r="J39" s="34" t="s">
        <v>61</v>
      </c>
    </row>
    <row r="40" spans="2:10" x14ac:dyDescent="0.25">
      <c r="E40" s="32">
        <v>1</v>
      </c>
      <c r="F40" s="32">
        <v>6</v>
      </c>
      <c r="H40" s="37">
        <f>COUNTIF(F40:F139,6)</f>
        <v>16</v>
      </c>
      <c r="I40" s="32" t="s">
        <v>62</v>
      </c>
      <c r="J40" s="32" t="s">
        <v>64</v>
      </c>
    </row>
    <row r="41" spans="2:10" x14ac:dyDescent="0.25">
      <c r="E41" s="32">
        <v>2</v>
      </c>
      <c r="F41" s="32">
        <v>4</v>
      </c>
      <c r="I41" s="32" t="s">
        <v>62</v>
      </c>
      <c r="J41" s="32" t="s">
        <v>65</v>
      </c>
    </row>
    <row r="42" spans="2:10" x14ac:dyDescent="0.25">
      <c r="B42" s="37" t="s">
        <v>69</v>
      </c>
      <c r="E42" s="32">
        <v>3</v>
      </c>
      <c r="F42" s="32">
        <v>5</v>
      </c>
      <c r="I42" s="32" t="s">
        <v>62</v>
      </c>
      <c r="J42" s="32" t="s">
        <v>64</v>
      </c>
    </row>
    <row r="43" spans="2:10" x14ac:dyDescent="0.25">
      <c r="B43" s="37">
        <f>COUNTIF(F40:F139,"&lt;=3")</f>
        <v>53</v>
      </c>
      <c r="E43" s="32">
        <v>4</v>
      </c>
      <c r="F43" s="32">
        <v>1</v>
      </c>
      <c r="I43" s="32" t="s">
        <v>63</v>
      </c>
      <c r="J43" s="32" t="s">
        <v>64</v>
      </c>
    </row>
    <row r="44" spans="2:10" x14ac:dyDescent="0.25">
      <c r="E44" s="32">
        <v>5</v>
      </c>
      <c r="F44" s="32">
        <v>5</v>
      </c>
      <c r="I44" s="32" t="s">
        <v>63</v>
      </c>
      <c r="J44" s="32" t="s">
        <v>65</v>
      </c>
    </row>
    <row r="45" spans="2:10" x14ac:dyDescent="0.25">
      <c r="E45" s="32">
        <v>6</v>
      </c>
      <c r="F45" s="32">
        <v>2</v>
      </c>
      <c r="I45" s="32" t="s">
        <v>63</v>
      </c>
      <c r="J45" s="32" t="s">
        <v>65</v>
      </c>
    </row>
    <row r="46" spans="2:10" x14ac:dyDescent="0.25">
      <c r="B46" s="37" t="s">
        <v>70</v>
      </c>
      <c r="E46" s="32">
        <v>7</v>
      </c>
      <c r="F46" s="32">
        <v>1</v>
      </c>
      <c r="I46" s="32" t="s">
        <v>63</v>
      </c>
      <c r="J46" s="32" t="s">
        <v>65</v>
      </c>
    </row>
    <row r="47" spans="2:10" x14ac:dyDescent="0.25">
      <c r="B47" s="37">
        <f>B43/100</f>
        <v>0.53</v>
      </c>
      <c r="E47" s="32">
        <v>8</v>
      </c>
      <c r="F47" s="32">
        <v>6</v>
      </c>
      <c r="I47" s="32" t="s">
        <v>63</v>
      </c>
      <c r="J47" s="32" t="s">
        <v>65</v>
      </c>
    </row>
    <row r="48" spans="2:10" x14ac:dyDescent="0.25">
      <c r="E48" s="32">
        <v>9</v>
      </c>
      <c r="F48" s="32">
        <v>3</v>
      </c>
      <c r="I48" s="32" t="s">
        <v>63</v>
      </c>
      <c r="J48" s="32" t="s">
        <v>64</v>
      </c>
    </row>
    <row r="49" spans="2:10" x14ac:dyDescent="0.25">
      <c r="B49" s="37" t="s">
        <v>67</v>
      </c>
      <c r="E49" s="32">
        <v>10</v>
      </c>
      <c r="F49" s="32">
        <v>4</v>
      </c>
      <c r="I49" s="32" t="s">
        <v>63</v>
      </c>
      <c r="J49" s="32" t="s">
        <v>64</v>
      </c>
    </row>
    <row r="50" spans="2:10" x14ac:dyDescent="0.25">
      <c r="B50" s="37" t="str">
        <f>INT(B47*100)&amp;"%"</f>
        <v>53%</v>
      </c>
      <c r="E50" s="32">
        <v>11</v>
      </c>
      <c r="F50" s="32">
        <v>2</v>
      </c>
      <c r="I50" s="32" t="s">
        <v>62</v>
      </c>
      <c r="J50" s="32" t="s">
        <v>65</v>
      </c>
    </row>
    <row r="51" spans="2:10" x14ac:dyDescent="0.25">
      <c r="E51" s="32">
        <v>12</v>
      </c>
      <c r="F51" s="32">
        <v>6</v>
      </c>
      <c r="I51" s="32" t="s">
        <v>63</v>
      </c>
      <c r="J51" s="32" t="s">
        <v>64</v>
      </c>
    </row>
    <row r="52" spans="2:10" x14ac:dyDescent="0.25">
      <c r="E52" s="32">
        <v>13</v>
      </c>
      <c r="F52" s="32">
        <v>6</v>
      </c>
      <c r="I52" s="32" t="s">
        <v>63</v>
      </c>
      <c r="J52" s="32" t="s">
        <v>64</v>
      </c>
    </row>
    <row r="53" spans="2:10" x14ac:dyDescent="0.25">
      <c r="E53" s="32">
        <v>14</v>
      </c>
      <c r="F53" s="32">
        <v>6</v>
      </c>
      <c r="I53" s="32" t="s">
        <v>62</v>
      </c>
      <c r="J53" s="32" t="s">
        <v>65</v>
      </c>
    </row>
    <row r="54" spans="2:10" x14ac:dyDescent="0.25">
      <c r="E54" s="32">
        <v>15</v>
      </c>
      <c r="F54" s="32">
        <v>6</v>
      </c>
      <c r="I54" s="32" t="s">
        <v>63</v>
      </c>
      <c r="J54" s="32" t="s">
        <v>65</v>
      </c>
    </row>
    <row r="55" spans="2:10" x14ac:dyDescent="0.25">
      <c r="E55" s="32">
        <v>16</v>
      </c>
      <c r="F55" s="32">
        <v>4</v>
      </c>
      <c r="I55" s="32" t="s">
        <v>62</v>
      </c>
      <c r="J55" s="32" t="s">
        <v>64</v>
      </c>
    </row>
    <row r="56" spans="2:10" x14ac:dyDescent="0.25">
      <c r="E56" s="32">
        <v>17</v>
      </c>
      <c r="F56" s="32">
        <v>2</v>
      </c>
      <c r="I56" s="32" t="s">
        <v>62</v>
      </c>
      <c r="J56" s="32" t="s">
        <v>65</v>
      </c>
    </row>
    <row r="57" spans="2:10" x14ac:dyDescent="0.25">
      <c r="E57" s="32">
        <v>18</v>
      </c>
      <c r="F57" s="32">
        <v>2</v>
      </c>
      <c r="I57" s="32" t="s">
        <v>63</v>
      </c>
      <c r="J57" s="32" t="s">
        <v>65</v>
      </c>
    </row>
    <row r="58" spans="2:10" x14ac:dyDescent="0.25">
      <c r="E58" s="32">
        <v>19</v>
      </c>
      <c r="F58" s="32">
        <v>5</v>
      </c>
      <c r="I58" s="32" t="s">
        <v>63</v>
      </c>
      <c r="J58" s="32" t="s">
        <v>65</v>
      </c>
    </row>
    <row r="59" spans="2:10" x14ac:dyDescent="0.25">
      <c r="E59" s="32">
        <v>20</v>
      </c>
      <c r="F59" s="32">
        <v>6</v>
      </c>
      <c r="I59" s="32" t="s">
        <v>63</v>
      </c>
      <c r="J59" s="32" t="s">
        <v>65</v>
      </c>
    </row>
    <row r="60" spans="2:10" x14ac:dyDescent="0.25">
      <c r="E60" s="32">
        <v>21</v>
      </c>
      <c r="F60" s="32">
        <v>1</v>
      </c>
      <c r="I60" s="32" t="s">
        <v>62</v>
      </c>
      <c r="J60" s="32" t="s">
        <v>65</v>
      </c>
    </row>
    <row r="61" spans="2:10" x14ac:dyDescent="0.25">
      <c r="E61" s="32">
        <v>22</v>
      </c>
      <c r="F61" s="32">
        <v>4</v>
      </c>
      <c r="I61" s="32" t="s">
        <v>63</v>
      </c>
      <c r="J61" s="32" t="s">
        <v>64</v>
      </c>
    </row>
    <row r="62" spans="2:10" x14ac:dyDescent="0.25">
      <c r="E62" s="32">
        <v>23</v>
      </c>
      <c r="F62" s="32">
        <v>1</v>
      </c>
      <c r="I62" s="32" t="s">
        <v>63</v>
      </c>
      <c r="J62" s="32" t="s">
        <v>65</v>
      </c>
    </row>
    <row r="63" spans="2:10" x14ac:dyDescent="0.25">
      <c r="E63" s="32">
        <v>24</v>
      </c>
      <c r="F63" s="32">
        <v>2</v>
      </c>
      <c r="I63" s="32" t="s">
        <v>63</v>
      </c>
      <c r="J63" s="32" t="s">
        <v>64</v>
      </c>
    </row>
    <row r="64" spans="2:10" x14ac:dyDescent="0.25">
      <c r="E64" s="32">
        <v>25</v>
      </c>
      <c r="F64" s="32">
        <v>6</v>
      </c>
      <c r="I64" s="32" t="s">
        <v>62</v>
      </c>
      <c r="J64" s="32" t="s">
        <v>65</v>
      </c>
    </row>
    <row r="65" spans="5:10" x14ac:dyDescent="0.25">
      <c r="E65" s="32">
        <v>26</v>
      </c>
      <c r="F65" s="32">
        <v>2</v>
      </c>
      <c r="I65" s="32" t="s">
        <v>63</v>
      </c>
      <c r="J65" s="32" t="s">
        <v>64</v>
      </c>
    </row>
    <row r="66" spans="5:10" x14ac:dyDescent="0.25">
      <c r="E66" s="32">
        <v>27</v>
      </c>
      <c r="F66" s="32">
        <v>2</v>
      </c>
      <c r="I66" s="32" t="s">
        <v>62</v>
      </c>
      <c r="J66" s="32" t="s">
        <v>64</v>
      </c>
    </row>
    <row r="67" spans="5:10" x14ac:dyDescent="0.25">
      <c r="E67" s="32">
        <v>28</v>
      </c>
      <c r="F67" s="32">
        <v>1</v>
      </c>
      <c r="I67" s="32" t="s">
        <v>62</v>
      </c>
      <c r="J67" s="32" t="s">
        <v>65</v>
      </c>
    </row>
    <row r="68" spans="5:10" x14ac:dyDescent="0.25">
      <c r="E68" s="32">
        <v>29</v>
      </c>
      <c r="F68" s="32">
        <v>1</v>
      </c>
      <c r="I68" s="32" t="s">
        <v>63</v>
      </c>
      <c r="J68" s="32" t="s">
        <v>65</v>
      </c>
    </row>
    <row r="69" spans="5:10" x14ac:dyDescent="0.25">
      <c r="E69" s="32">
        <v>30</v>
      </c>
      <c r="F69" s="32">
        <v>4</v>
      </c>
      <c r="I69" s="32" t="s">
        <v>63</v>
      </c>
      <c r="J69" s="32" t="s">
        <v>65</v>
      </c>
    </row>
    <row r="70" spans="5:10" x14ac:dyDescent="0.25">
      <c r="E70" s="32">
        <v>31</v>
      </c>
      <c r="F70" s="32">
        <v>2</v>
      </c>
      <c r="I70" s="32" t="s">
        <v>62</v>
      </c>
      <c r="J70" s="32" t="s">
        <v>65</v>
      </c>
    </row>
    <row r="71" spans="5:10" x14ac:dyDescent="0.25">
      <c r="E71" s="32">
        <v>32</v>
      </c>
      <c r="F71" s="32">
        <v>4</v>
      </c>
      <c r="I71" s="32" t="s">
        <v>62</v>
      </c>
      <c r="J71" s="32" t="s">
        <v>64</v>
      </c>
    </row>
    <row r="72" spans="5:10" x14ac:dyDescent="0.25">
      <c r="E72" s="32">
        <v>33</v>
      </c>
      <c r="F72" s="32">
        <v>6</v>
      </c>
      <c r="I72" s="32" t="s">
        <v>62</v>
      </c>
      <c r="J72" s="32" t="s">
        <v>65</v>
      </c>
    </row>
    <row r="73" spans="5:10" x14ac:dyDescent="0.25">
      <c r="E73" s="32">
        <v>34</v>
      </c>
      <c r="F73" s="32">
        <v>3</v>
      </c>
    </row>
    <row r="74" spans="5:10" x14ac:dyDescent="0.25">
      <c r="E74" s="32">
        <v>35</v>
      </c>
      <c r="F74" s="32">
        <v>2</v>
      </c>
    </row>
    <row r="75" spans="5:10" x14ac:dyDescent="0.25">
      <c r="E75" s="32">
        <v>36</v>
      </c>
      <c r="F75" s="32">
        <v>4</v>
      </c>
      <c r="I75" s="37" t="s">
        <v>66</v>
      </c>
      <c r="J75" s="37" t="s">
        <v>67</v>
      </c>
    </row>
    <row r="76" spans="5:10" x14ac:dyDescent="0.25">
      <c r="E76" s="32">
        <v>37</v>
      </c>
      <c r="F76" s="32">
        <v>6</v>
      </c>
      <c r="I76" s="37">
        <f>COUNTIF(I40:I72,"Male")/33+(COUNTIF(J40:J72,"Yes")/33-(COUNTIFS(I40:I72,"Male",J40:J72,"Yes")/33))</f>
        <v>0.72727272727272729</v>
      </c>
      <c r="J76" s="37" t="str">
        <f>INT(I76*100)&amp;"%"</f>
        <v>72%</v>
      </c>
    </row>
    <row r="77" spans="5:10" x14ac:dyDescent="0.25">
      <c r="E77" s="32">
        <v>38</v>
      </c>
      <c r="F77" s="32">
        <v>2</v>
      </c>
    </row>
    <row r="78" spans="5:10" x14ac:dyDescent="0.25">
      <c r="E78" s="32">
        <v>39</v>
      </c>
      <c r="F78" s="32">
        <v>3</v>
      </c>
      <c r="I78" s="37" t="s">
        <v>68</v>
      </c>
      <c r="J78" s="37" t="s">
        <v>67</v>
      </c>
    </row>
    <row r="79" spans="5:10" x14ac:dyDescent="0.25">
      <c r="E79" s="32">
        <v>40</v>
      </c>
      <c r="F79" s="32">
        <v>4</v>
      </c>
      <c r="I79" s="37">
        <f>COUNTIFS(I40:I72,"Male",J40:J72,"Yes")/33</f>
        <v>0.24242424242424243</v>
      </c>
      <c r="J79" s="37" t="str">
        <f>INT(I79*100)&amp;"%"</f>
        <v>24%</v>
      </c>
    </row>
    <row r="80" spans="5:10" x14ac:dyDescent="0.25">
      <c r="E80" s="32">
        <v>41</v>
      </c>
      <c r="F80" s="32">
        <v>5</v>
      </c>
    </row>
    <row r="81" spans="5:6" x14ac:dyDescent="0.25">
      <c r="E81" s="32">
        <v>42</v>
      </c>
      <c r="F81" s="32">
        <v>3</v>
      </c>
    </row>
    <row r="82" spans="5:6" x14ac:dyDescent="0.25">
      <c r="E82" s="32">
        <v>43</v>
      </c>
      <c r="F82" s="32">
        <v>1</v>
      </c>
    </row>
    <row r="83" spans="5:6" x14ac:dyDescent="0.25">
      <c r="E83" s="32">
        <v>44</v>
      </c>
      <c r="F83" s="32">
        <v>1</v>
      </c>
    </row>
    <row r="84" spans="5:6" x14ac:dyDescent="0.25">
      <c r="E84" s="32">
        <v>45</v>
      </c>
      <c r="F84" s="32">
        <v>1</v>
      </c>
    </row>
    <row r="85" spans="5:6" x14ac:dyDescent="0.25">
      <c r="E85" s="32">
        <v>46</v>
      </c>
      <c r="F85" s="32">
        <v>6</v>
      </c>
    </row>
    <row r="86" spans="5:6" x14ac:dyDescent="0.25">
      <c r="E86" s="32">
        <v>47</v>
      </c>
      <c r="F86" s="32">
        <v>3</v>
      </c>
    </row>
    <row r="87" spans="5:6" x14ac:dyDescent="0.25">
      <c r="E87" s="32">
        <v>48</v>
      </c>
      <c r="F87" s="32">
        <v>1</v>
      </c>
    </row>
    <row r="88" spans="5:6" x14ac:dyDescent="0.25">
      <c r="E88" s="32">
        <v>49</v>
      </c>
      <c r="F88" s="32">
        <v>1</v>
      </c>
    </row>
    <row r="89" spans="5:6" x14ac:dyDescent="0.25">
      <c r="E89" s="32">
        <v>50</v>
      </c>
      <c r="F89" s="32">
        <v>4</v>
      </c>
    </row>
    <row r="90" spans="5:6" x14ac:dyDescent="0.25">
      <c r="E90" s="32">
        <v>51</v>
      </c>
      <c r="F90" s="32">
        <v>4</v>
      </c>
    </row>
    <row r="91" spans="5:6" x14ac:dyDescent="0.25">
      <c r="E91" s="32">
        <v>52</v>
      </c>
      <c r="F91" s="32">
        <v>1</v>
      </c>
    </row>
    <row r="92" spans="5:6" x14ac:dyDescent="0.25">
      <c r="E92" s="32">
        <v>53</v>
      </c>
      <c r="F92" s="32">
        <v>5</v>
      </c>
    </row>
    <row r="93" spans="5:6" x14ac:dyDescent="0.25">
      <c r="E93" s="32">
        <v>54</v>
      </c>
      <c r="F93" s="32">
        <v>2</v>
      </c>
    </row>
    <row r="94" spans="5:6" x14ac:dyDescent="0.25">
      <c r="E94" s="32">
        <v>55</v>
      </c>
      <c r="F94" s="32">
        <v>4</v>
      </c>
    </row>
    <row r="95" spans="5:6" x14ac:dyDescent="0.25">
      <c r="E95" s="32">
        <v>56</v>
      </c>
      <c r="F95" s="32">
        <v>2</v>
      </c>
    </row>
    <row r="96" spans="5:6" x14ac:dyDescent="0.25">
      <c r="E96" s="32">
        <v>57</v>
      </c>
      <c r="F96" s="32">
        <v>1</v>
      </c>
    </row>
    <row r="97" spans="5:6" x14ac:dyDescent="0.25">
      <c r="E97" s="32">
        <v>58</v>
      </c>
      <c r="F97" s="32">
        <v>2</v>
      </c>
    </row>
    <row r="98" spans="5:6" x14ac:dyDescent="0.25">
      <c r="E98" s="32">
        <v>59</v>
      </c>
      <c r="F98" s="32">
        <v>6</v>
      </c>
    </row>
    <row r="99" spans="5:6" x14ac:dyDescent="0.25">
      <c r="E99" s="32">
        <v>60</v>
      </c>
      <c r="F99" s="32">
        <v>1</v>
      </c>
    </row>
    <row r="100" spans="5:6" x14ac:dyDescent="0.25">
      <c r="E100" s="32">
        <v>61</v>
      </c>
      <c r="F100" s="32">
        <v>2</v>
      </c>
    </row>
    <row r="101" spans="5:6" x14ac:dyDescent="0.25">
      <c r="E101" s="32">
        <v>62</v>
      </c>
      <c r="F101" s="32">
        <v>3</v>
      </c>
    </row>
    <row r="102" spans="5:6" x14ac:dyDescent="0.25">
      <c r="E102" s="32">
        <v>63</v>
      </c>
      <c r="F102" s="32">
        <v>2</v>
      </c>
    </row>
    <row r="103" spans="5:6" x14ac:dyDescent="0.25">
      <c r="E103" s="32">
        <v>64</v>
      </c>
      <c r="F103" s="32">
        <v>1</v>
      </c>
    </row>
    <row r="104" spans="5:6" x14ac:dyDescent="0.25">
      <c r="E104" s="32">
        <v>65</v>
      </c>
      <c r="F104" s="32">
        <v>5</v>
      </c>
    </row>
    <row r="105" spans="5:6" x14ac:dyDescent="0.25">
      <c r="E105" s="32">
        <v>66</v>
      </c>
      <c r="F105" s="32">
        <v>5</v>
      </c>
    </row>
    <row r="106" spans="5:6" x14ac:dyDescent="0.25">
      <c r="E106" s="32">
        <v>67</v>
      </c>
      <c r="F106" s="32">
        <v>2</v>
      </c>
    </row>
    <row r="107" spans="5:6" x14ac:dyDescent="0.25">
      <c r="E107" s="32">
        <v>68</v>
      </c>
      <c r="F107" s="32">
        <v>4</v>
      </c>
    </row>
    <row r="108" spans="5:6" x14ac:dyDescent="0.25">
      <c r="E108" s="32">
        <v>69</v>
      </c>
      <c r="F108" s="32">
        <v>4</v>
      </c>
    </row>
    <row r="109" spans="5:6" x14ac:dyDescent="0.25">
      <c r="E109" s="32">
        <v>70</v>
      </c>
      <c r="F109" s="32">
        <v>6</v>
      </c>
    </row>
    <row r="110" spans="5:6" x14ac:dyDescent="0.25">
      <c r="E110" s="32">
        <v>71</v>
      </c>
      <c r="F110" s="32">
        <v>3</v>
      </c>
    </row>
    <row r="111" spans="5:6" x14ac:dyDescent="0.25">
      <c r="E111" s="32">
        <v>72</v>
      </c>
      <c r="F111" s="32">
        <v>1</v>
      </c>
    </row>
    <row r="112" spans="5:6" x14ac:dyDescent="0.25">
      <c r="E112" s="32">
        <v>73</v>
      </c>
      <c r="F112" s="32">
        <v>1</v>
      </c>
    </row>
    <row r="113" spans="5:6" x14ac:dyDescent="0.25">
      <c r="E113" s="32">
        <v>74</v>
      </c>
      <c r="F113" s="32">
        <v>3</v>
      </c>
    </row>
    <row r="114" spans="5:6" x14ac:dyDescent="0.25">
      <c r="E114" s="32">
        <v>75</v>
      </c>
      <c r="F114" s="32">
        <v>3</v>
      </c>
    </row>
    <row r="115" spans="5:6" x14ac:dyDescent="0.25">
      <c r="E115" s="32">
        <v>76</v>
      </c>
      <c r="F115" s="32">
        <v>6</v>
      </c>
    </row>
    <row r="116" spans="5:6" x14ac:dyDescent="0.25">
      <c r="E116" s="32">
        <v>77</v>
      </c>
      <c r="F116" s="32">
        <v>5</v>
      </c>
    </row>
    <row r="117" spans="5:6" x14ac:dyDescent="0.25">
      <c r="E117" s="32">
        <v>78</v>
      </c>
      <c r="F117" s="32">
        <v>1</v>
      </c>
    </row>
    <row r="118" spans="5:6" x14ac:dyDescent="0.25">
      <c r="E118" s="32">
        <v>79</v>
      </c>
      <c r="F118" s="32">
        <v>6</v>
      </c>
    </row>
    <row r="119" spans="5:6" x14ac:dyDescent="0.25">
      <c r="E119" s="32">
        <v>80</v>
      </c>
      <c r="F119" s="32">
        <v>2</v>
      </c>
    </row>
    <row r="120" spans="5:6" x14ac:dyDescent="0.25">
      <c r="E120" s="32">
        <v>81</v>
      </c>
      <c r="F120" s="32">
        <v>2</v>
      </c>
    </row>
    <row r="121" spans="5:6" x14ac:dyDescent="0.25">
      <c r="E121" s="32">
        <v>82</v>
      </c>
      <c r="F121" s="32">
        <v>5</v>
      </c>
    </row>
    <row r="122" spans="5:6" x14ac:dyDescent="0.25">
      <c r="E122" s="32">
        <v>83</v>
      </c>
      <c r="F122" s="32">
        <v>5</v>
      </c>
    </row>
    <row r="123" spans="5:6" x14ac:dyDescent="0.25">
      <c r="E123" s="32">
        <v>84</v>
      </c>
      <c r="F123" s="32">
        <v>4</v>
      </c>
    </row>
    <row r="124" spans="5:6" x14ac:dyDescent="0.25">
      <c r="E124" s="32">
        <v>85</v>
      </c>
      <c r="F124" s="32">
        <v>6</v>
      </c>
    </row>
    <row r="125" spans="5:6" x14ac:dyDescent="0.25">
      <c r="E125" s="32">
        <v>86</v>
      </c>
      <c r="F125" s="32">
        <v>2</v>
      </c>
    </row>
    <row r="126" spans="5:6" x14ac:dyDescent="0.25">
      <c r="E126" s="32">
        <v>87</v>
      </c>
      <c r="F126" s="32">
        <v>3</v>
      </c>
    </row>
    <row r="127" spans="5:6" x14ac:dyDescent="0.25">
      <c r="E127" s="32">
        <v>88</v>
      </c>
      <c r="F127" s="32">
        <v>3</v>
      </c>
    </row>
    <row r="128" spans="5:6" x14ac:dyDescent="0.25">
      <c r="E128" s="32">
        <v>89</v>
      </c>
      <c r="F128" s="32">
        <v>5</v>
      </c>
    </row>
    <row r="129" spans="5:6" x14ac:dyDescent="0.25">
      <c r="E129" s="32">
        <v>90</v>
      </c>
      <c r="F129" s="32">
        <v>1</v>
      </c>
    </row>
    <row r="130" spans="5:6" x14ac:dyDescent="0.25">
      <c r="E130" s="32">
        <v>91</v>
      </c>
      <c r="F130" s="32">
        <v>2</v>
      </c>
    </row>
    <row r="131" spans="5:6" x14ac:dyDescent="0.25">
      <c r="E131" s="32">
        <v>92</v>
      </c>
      <c r="F131" s="32">
        <v>2</v>
      </c>
    </row>
    <row r="132" spans="5:6" x14ac:dyDescent="0.25">
      <c r="E132" s="32">
        <v>93</v>
      </c>
      <c r="F132" s="32">
        <v>4</v>
      </c>
    </row>
    <row r="133" spans="5:6" x14ac:dyDescent="0.25">
      <c r="E133" s="32">
        <v>94</v>
      </c>
      <c r="F133" s="32">
        <v>5</v>
      </c>
    </row>
    <row r="134" spans="5:6" x14ac:dyDescent="0.25">
      <c r="E134" s="32">
        <v>95</v>
      </c>
      <c r="F134" s="32">
        <v>2</v>
      </c>
    </row>
    <row r="135" spans="5:6" x14ac:dyDescent="0.25">
      <c r="E135" s="32">
        <v>96</v>
      </c>
      <c r="F135" s="32">
        <v>5</v>
      </c>
    </row>
    <row r="136" spans="5:6" x14ac:dyDescent="0.25">
      <c r="E136" s="32">
        <v>97</v>
      </c>
      <c r="F136" s="32">
        <v>4</v>
      </c>
    </row>
    <row r="137" spans="5:6" x14ac:dyDescent="0.25">
      <c r="E137" s="32">
        <v>98</v>
      </c>
      <c r="F137" s="32">
        <v>5</v>
      </c>
    </row>
    <row r="138" spans="5:6" x14ac:dyDescent="0.25">
      <c r="E138" s="32">
        <v>99</v>
      </c>
      <c r="F138" s="32">
        <v>1</v>
      </c>
    </row>
    <row r="139" spans="5:6" x14ac:dyDescent="0.25">
      <c r="E139" s="32">
        <v>100</v>
      </c>
      <c r="F139" s="32">
        <v>4</v>
      </c>
    </row>
  </sheetData>
  <sortState xmlns:xlrd2="http://schemas.microsoft.com/office/spreadsheetml/2017/richdata2" ref="L4:L31">
    <sortCondition ref="L4:L31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24695A3217@mits.com</dc:creator>
  <cp:lastModifiedBy>MITS</cp:lastModifiedBy>
  <dcterms:created xsi:type="dcterms:W3CDTF">2026-06-24T04:37:11Z</dcterms:created>
  <dcterms:modified xsi:type="dcterms:W3CDTF">2026-06-24T11:14:53Z</dcterms:modified>
</cp:coreProperties>
</file>